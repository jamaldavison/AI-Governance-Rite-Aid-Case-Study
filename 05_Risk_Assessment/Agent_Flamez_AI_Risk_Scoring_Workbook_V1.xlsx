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7771fb75d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ccd7ebc6e6e4a82"/>
    <x:sheet xmlns:r="http://schemas.openxmlformats.org/officeDocument/2006/relationships" name="Risk Scoring" sheetId="2" r:id="R877c99c923784871"/>
    <x:sheet xmlns:r="http://schemas.openxmlformats.org/officeDocument/2006/relationships" name="Assessment History" sheetId="3" r:id="R27b132d6a8f249a7"/>
    <x:sheet xmlns:r="http://schemas.openxmlformats.org/officeDocument/2006/relationships" name="Treatment Plans" sheetId="4" r:id="Rad68b652b9274851"/>
    <x:sheet xmlns:r="http://schemas.openxmlformats.org/officeDocument/2006/relationships" name="Evidence Register" sheetId="5" r:id="R2a44082d54684968"/>
    <x:sheet xmlns:r="http://schemas.openxmlformats.org/officeDocument/2006/relationships" name="Approval &amp; QA" sheetId="6" r:id="R878e428df5684fb2"/>
    <x:sheet xmlns:r="http://schemas.openxmlformats.org/officeDocument/2006/relationships" name="Scoring Guide" sheetId="7" r:id="R2fe8eb87ba32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04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7b53f12e04250" /><Relationship Type="http://schemas.openxmlformats.org/officeDocument/2006/relationships/theme" Target="/xl/theme/theme1.xml" Id="R86ca893c4b5a4d07" /><Relationship Type="http://schemas.openxmlformats.org/officeDocument/2006/relationships/sharedStrings" Target="/xl/sharedStrings.xml" Id="R7d305586560e4c67" /><Relationship Type="http://schemas.openxmlformats.org/officeDocument/2006/relationships/worksheet" Target="/xl/worksheets/sheet1.xml" Id="R9ccd7ebc6e6e4a82" /><Relationship Type="http://schemas.openxmlformats.org/officeDocument/2006/relationships/worksheet" Target="/xl/worksheets/sheet2.xml" Id="R877c99c923784871" /><Relationship Type="http://schemas.openxmlformats.org/officeDocument/2006/relationships/worksheet" Target="/xl/worksheets/sheet3.xml" Id="R27b132d6a8f249a7" /><Relationship Type="http://schemas.openxmlformats.org/officeDocument/2006/relationships/worksheet" Target="/xl/worksheets/sheet4.xml" Id="Rad68b652b9274851" /><Relationship Type="http://schemas.openxmlformats.org/officeDocument/2006/relationships/worksheet" Target="/xl/worksheets/sheet5.xml" Id="R2a44082d54684968" /><Relationship Type="http://schemas.openxmlformats.org/officeDocument/2006/relationships/worksheet" Target="/xl/worksheets/sheet6.xml" Id="R878e428df5684fb2" /><Relationship Type="http://schemas.openxmlformats.org/officeDocument/2006/relationships/worksheet" Target="/xl/worksheets/sheet7.xml" Id="R2fe8eb87ba32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9" customHeight="1">
      <x:c r="A1" s="8" t="str">
        <x:v>Topic</x:v>
      </x:c>
      <x:c r="B1" s="8" t="str">
        <x:v>Instructions / qualification</x:v>
      </x:c>
    </x:row>
    <x:row r="2" ht="36" customHeight="1">
      <x:c r="A2" s="9" t="str">
        <x:v>Document</x:v>
      </x:c>
      <x:c r="B2" s="9" t="str">
        <x:v>Document 5 — AI Risk Assessment Methodology | illustrative portfolio simulation</x:v>
      </x:c>
    </x:row>
    <x:row r="3" ht="36" customHeight="1">
      <x:c r="A3" s="9" t="str">
        <x:v>Version</x:v>
      </x:c>
      <x:c r="B3" s="9" t="str">
        <x:v>1.0 — Draft for review</x:v>
      </x:c>
    </x:row>
    <x:row r="4" ht="36" customHeight="1">
      <x:c r="A4" s="9" t="str">
        <x:v>Scope</x:v>
      </x:c>
      <x:c r="B4" s="9" t="str">
        <x:v>Five illustrative systems matching AI Inventory Document 4</x:v>
      </x:c>
    </x:row>
    <x:row r="5" ht="36" customHeight="1">
      <x:c r="A5" s="9" t="str">
        <x:v>Important limitation</x:v>
      </x:c>
      <x:c r="B5" s="9" t="str">
        <x:v>AI-001 is a simulated assessment of the historical facial-recognition subject; AI-002–005 are fictional example systems, not verified Rite Aid uses.</x:v>
      </x:c>
    </x:row>
    <x:row r="6" ht="36" customHeight="1">
      <x:c r="A6" s="9" t="str">
        <x:v>Risk formula</x:v>
      </x:c>
      <x:c r="B6" s="9" t="str">
        <x:v>Base = Impact × Likelihood; 1–4 Low, 5–9 Moderate, 10–16 High, 17–25 Critical.</x:v>
      </x:c>
    </x:row>
    <x:row r="7" ht="36" customHeight="1">
      <x:c r="A7" s="9" t="str">
        <x:v>Escalations</x:v>
      </x:c>
      <x:c r="B7" s="9" t="str">
        <x:v>Data Sensitivity 4–5 → at least High; Human Impact 4 → at least High; Human Impact 5 → at least Critical.</x:v>
      </x:c>
    </x:row>
    <x:row r="8" ht="36" customHeight="1">
      <x:c r="A8" s="9" t="str">
        <x:v>Residual</x:v>
      </x:c>
      <x:c r="B8" s="9" t="str">
        <x:v>Do not reduce risk without effective implemented controls and evidence; unverified examples have unchanged residual scores.</x:v>
      </x:c>
    </x:row>
    <x:row r="9" ht="36" customHeight="1">
      <x:c r="A9" s="9" t="str">
        <x:v>Approved ≠ deployed</x:v>
      </x:c>
      <x:c r="B9" s="9" t="str">
        <x:v>Risk assessment approval and residual risk acceptance do not independently authorize deployment.</x:v>
      </x:c>
    </x:row>
    <x:row r="10" ht="36" customHeight="1">
      <x:c r="A10" s="9" t="str">
        <x:v>Legal safeguards</x:v>
      </x:c>
      <x:c r="B10" s="9" t="str">
        <x:v>No numerical score or internal authorization can override an applicable legal restriction or FTC order.</x:v>
      </x:c>
    </x:row>
    <x:row r="11" ht="36" customHeight="1">
      <x:c r="A11" s="9" t="str">
        <x:v>Audit limitation</x:v>
      </x:c>
      <x:c r="B11" s="9" t="str">
        <x:v>Worksheet history is an illustrative log; tamper-resistant recordkeeping requires platform controls.</x:v>
      </x:c>
    </x:row>
    <x:row r="12" ht="36" customHeight="1">
      <x:c r="A12" s="9" t="str">
        <x:v>Source — NIST AI RMF</x:v>
      </x:c>
      <x:c r="B12" s="9" t="str">
        <x:v>https://nvlpubs.nist.gov/nistpubs/ai/NIST.AI.100-1.pdf</x:v>
      </x:c>
    </x:row>
    <x:row r="13" ht="36" customHeight="1">
      <x:c r="A13" s="9" t="str">
        <x:v>Source — FTC Rite Aid</x:v>
      </x:c>
      <x:c r="B13" s="9" t="str">
        <x:v>https://www.ftc.gov/legal-library/browse/cases-proceedings/2023190-rite-aid-corporation-ftc-v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4" hidden="0" customWidth="1"/>
    <x:col min="4" max="4" width="35" hidden="0" customWidth="1"/>
    <x:col min="5" max="5" width="24" hidden="0" customWidth="1"/>
    <x:col min="6" max="6" width="18" hidden="0" customWidth="1"/>
    <x:col min="7" max="7" width="15" hidden="0" customWidth="1"/>
    <x:col min="8" max="8" width="16" hidden="0" customWidth="1"/>
    <x:col min="9" max="9" width="19" hidden="0" customWidth="1"/>
    <x:col min="10" max="10" width="17" hidden="0" customWidth="1"/>
    <x:col min="11" max="11" width="15" hidden="0" customWidth="1"/>
    <x:col min="12" max="12" width="18" hidden="0" customWidth="1"/>
    <x:col min="13" max="13" width="16" hidden="0" customWidth="1"/>
    <x:col min="14" max="14" width="18" hidden="0" customWidth="1"/>
    <x:col min="15" max="15" width="20" hidden="0" customWidth="1"/>
    <x:col min="16" max="16" width="18" hidden="0" customWidth="1"/>
    <x:col min="17" max="17" width="16" hidden="0" customWidth="1"/>
    <x:col min="18" max="18" width="18" hidden="0" customWidth="1"/>
    <x:col min="19" max="19" width="34" hidden="0" customWidth="1"/>
    <x:col min="20" max="20" width="18" hidden="0" customWidth="1"/>
    <x:col min="21" max="21" width="20" hidden="0" customWidth="1"/>
    <x:col min="22" max="22" width="18" hidden="0" customWidth="1"/>
    <x:col min="23" max="23" width="18" hidden="0" customWidth="1"/>
    <x:col min="24" max="24" width="68" hidden="0" customWidth="1"/>
  </x:cols>
  <x:sheetData>
    <x:row r="1" ht="29" customHeight="1">
      <x:c r="A1" s="8" t="str">
        <x:v>Assessment ID</x:v>
      </x:c>
      <x:c r="B1" s="8" t="str">
        <x:v>AI System ID</x:v>
      </x:c>
      <x:c r="C1" s="8" t="str">
        <x:v>AI System</x:v>
      </x:c>
      <x:c r="D1" s="8" t="str">
        <x:v>Example basis</x:v>
      </x:c>
      <x:c r="E1" s="8" t="str">
        <x:v>Assessor</x:v>
      </x:c>
      <x:c r="F1" s="8" t="str">
        <x:v>Assessment Date</x:v>
      </x:c>
      <x:c r="G1" s="8" t="str">
        <x:v>Inherent Impact</x:v>
      </x:c>
      <x:c r="H1" s="8" t="str">
        <x:v>Inherent Likelihood</x:v>
      </x:c>
      <x:c r="I1" s="8" t="str">
        <x:v>Inherent Data Sensitivity</x:v>
      </x:c>
      <x:c r="J1" s="8" t="str">
        <x:v>Inherent Human Impact</x:v>
      </x:c>
      <x:c r="K1" s="8" t="str">
        <x:v>Inherent Base</x:v>
      </x:c>
      <x:c r="L1" s="8" t="str">
        <x:v>Inherent Level</x:v>
      </x:c>
      <x:c r="M1" s="8" t="str">
        <x:v>Residual Impact</x:v>
      </x:c>
      <x:c r="N1" s="8" t="str">
        <x:v>Residual Likelihood</x:v>
      </x:c>
      <x:c r="O1" s="8" t="str">
        <x:v>Residual Data Sensitivity</x:v>
      </x:c>
      <x:c r="P1" s="8" t="str">
        <x:v>Residual Human Impact</x:v>
      </x:c>
      <x:c r="Q1" s="8" t="str">
        <x:v>Residual Base</x:v>
      </x:c>
      <x:c r="R1" s="8" t="str">
        <x:v>Residual Level</x:v>
      </x:c>
      <x:c r="S1" s="8" t="str">
        <x:v>Control Evidence</x:v>
      </x:c>
      <x:c r="T1" s="8" t="str">
        <x:v>Assessment Status</x:v>
      </x:c>
      <x:c r="U1" s="8" t="str">
        <x:v>Quality Reviewer</x:v>
      </x:c>
      <x:c r="V1" s="8" t="str">
        <x:v>Decision Date</x:v>
      </x:c>
      <x:c r="W1" s="8" t="str">
        <x:v>Next Reassessment</x:v>
      </x:c>
      <x:c r="X1" s="8" t="str">
        <x:v>Score Rationale / Gap</x:v>
      </x:c>
    </x:row>
    <x:row r="2" ht="36" customHeight="1">
      <x:c r="A2" s="9" t="str">
        <x:v>RA-001</x:v>
      </x:c>
      <x:c r="B2" s="9" t="str">
        <x:v>AI-001</x:v>
      </x:c>
      <x:c r="C2" s="9" t="str">
        <x:v>Facial recognition (historical subject)</x:v>
      </x:c>
      <x:c r="D2" s="9" t="str">
        <x:v>Historical subject; all scoring illustrative</x:v>
      </x:c>
      <x:c r="E2" s="9" t="str">
        <x:v>Simulation assessor — TBD</x:v>
      </x:c>
      <x:c r="F2" s="9"/>
      <x:c r="G2" s="9" t="n">
        <x:v>5</x:v>
      </x:c>
      <x:c r="H2" s="9" t="n">
        <x:v>3</x:v>
      </x:c>
      <x:c r="I2" s="9" t="n">
        <x:v>5</x:v>
      </x:c>
      <x:c r="J2" s="9" t="n">
        <x:v>5</x:v>
      </x:c>
      <x:c r="K2" s="9" t="n">
        <x:f>G2*H2</x:f>
        <x:v>15</x:v>
      </x:c>
      <x:c r="L2" s="9" t="str">
        <x:f>IF(OR(K2="",I2="",J2=""),"",IF(OR(K2&gt;=17,J2=5),"Critical",IF(OR(K2&gt;=10,I2&gt;=4,J2&gt;=4),"High",IF(K2&gt;=5,"Moderate","Low"))))</x:f>
        <x:v>Critical</x:v>
      </x:c>
      <x:c r="M2" s="9" t="n">
        <x:v>5</x:v>
      </x:c>
      <x:c r="N2" s="9" t="n">
        <x:v>3</x:v>
      </x:c>
      <x:c r="O2" s="9" t="n">
        <x:v>5</x:v>
      </x:c>
      <x:c r="P2" s="9" t="n">
        <x:v>5</x:v>
      </x:c>
      <x:c r="Q2" s="9" t="n">
        <x:f>M2*N2</x:f>
        <x:v>15</x:v>
      </x:c>
      <x:c r="R2" s="9" t="str">
        <x:f>IF(OR(Q2="",O2="",P2=""),"",IF(OR(Q2&gt;=17,P2=5),"Critical",IF(OR(Q2&gt;=10,O2&gt;=4,P2&gt;=4),"High",IF(Q2&gt;=5,"Moderate","Low"))))</x:f>
        <x:v>Critical</x:v>
      </x:c>
      <x:c r="S2" s="9" t="str">
        <x:v>Not provided; proposed controls not credited</x:v>
      </x:c>
      <x:c r="T2" s="9" t="str">
        <x:v>Draft</x:v>
      </x:c>
      <x:c r="U2" s="9" t="str">
        <x:v>Not assigned</x:v>
      </x:c>
      <x:c r="V2" s="9"/>
      <x:c r="W2" s="9"/>
      <x:c r="X2" s="9" t="str">
        <x:v>Potential false identification; customer treatment; biometric-data concerns; scores are illustrative, not empirically verified</x:v>
      </x:c>
    </x:row>
    <x:row r="3" ht="36" customHeight="1">
      <x:c r="A3" s="9" t="str">
        <x:v>RA-002</x:v>
      </x:c>
      <x:c r="B3" s="9" t="str">
        <x:v>AI-002</x:v>
      </x:c>
      <x:c r="C3" s="9" t="str">
        <x:v>Customer service chatbot</x:v>
      </x:c>
      <x:c r="D3" s="9" t="str">
        <x:v>Fully hypothetical</x:v>
      </x:c>
      <x:c r="E3" s="9" t="str">
        <x:v>Simulation assessor — TBD</x:v>
      </x:c>
      <x:c r="F3" s="9"/>
      <x:c r="G3" s="9" t="n">
        <x:v>3</x:v>
      </x:c>
      <x:c r="H3" s="9" t="n">
        <x:v>3</x:v>
      </x:c>
      <x:c r="I3" s="9" t="n">
        <x:v>3</x:v>
      </x:c>
      <x:c r="J3" s="9" t="n">
        <x:v>3</x:v>
      </x:c>
      <x:c r="K3" s="9" t="n">
        <x:f>G3*H3</x:f>
        <x:v>9</x:v>
      </x:c>
      <x:c r="L3" s="9" t="str">
        <x:f>IF(OR(K3="",I3="",J3=""),"",IF(OR(K3&gt;=17,J3=5),"Critical",IF(OR(K3&gt;=10,I3&gt;=4,J3&gt;=4),"High",IF(K3&gt;=5,"Moderate","Low"))))</x:f>
        <x:v>Moderate</x:v>
      </x:c>
      <x:c r="M3" s="9" t="n">
        <x:v>3</x:v>
      </x:c>
      <x:c r="N3" s="9" t="n">
        <x:v>3</x:v>
      </x:c>
      <x:c r="O3" s="9" t="n">
        <x:v>3</x:v>
      </x:c>
      <x:c r="P3" s="9" t="n">
        <x:v>3</x:v>
      </x:c>
      <x:c r="Q3" s="9" t="n">
        <x:f>M3*N3</x:f>
        <x:v>9</x:v>
      </x:c>
      <x:c r="R3" s="9" t="str">
        <x:f>IF(OR(Q3="",O3="",P3=""),"",IF(OR(Q3&gt;=17,P3=5),"Critical",IF(OR(Q3&gt;=10,O3&gt;=4,P3&gt;=4),"High",IF(Q3&gt;=5,"Moderate","Low"))))</x:f>
        <x:v>Moderate</x:v>
      </x:c>
      <x:c r="S3" s="9" t="str">
        <x:v>Not provided; proposed controls not credited</x:v>
      </x:c>
      <x:c r="T3" s="9" t="str">
        <x:v>Draft</x:v>
      </x:c>
      <x:c r="U3" s="9" t="str">
        <x:v>Not assigned</x:v>
      </x:c>
      <x:c r="V3" s="9"/>
      <x:c r="W3" s="9"/>
      <x:c r="X3" s="9" t="str">
        <x:v>Incorrect advice; handling customer personal information; scores are illustrative, not empirically verified</x:v>
      </x:c>
    </x:row>
    <x:row r="4" ht="36" customHeight="1">
      <x:c r="A4" s="9" t="str">
        <x:v>RA-003</x:v>
      </x:c>
      <x:c r="B4" s="9" t="str">
        <x:v>AI-003</x:v>
      </x:c>
      <x:c r="C4" s="9" t="str">
        <x:v>Employee scheduling AI</x:v>
      </x:c>
      <x:c r="D4" s="9" t="str">
        <x:v>Fully hypothetical</x:v>
      </x:c>
      <x:c r="E4" s="9" t="str">
        <x:v>Simulation assessor — TBD</x:v>
      </x:c>
      <x:c r="F4" s="9"/>
      <x:c r="G4" s="9" t="n">
        <x:v>4</x:v>
      </x:c>
      <x:c r="H4" s="9" t="n">
        <x:v>3</x:v>
      </x:c>
      <x:c r="I4" s="9" t="n">
        <x:v>3</x:v>
      </x:c>
      <x:c r="J4" s="9" t="n">
        <x:v>4</x:v>
      </x:c>
      <x:c r="K4" s="9" t="n">
        <x:f>G4*H4</x:f>
        <x:v>12</x:v>
      </x:c>
      <x:c r="L4" s="9" t="str">
        <x:f>IF(OR(K4="",I4="",J4=""),"",IF(OR(K4&gt;=17,J4=5),"Critical",IF(OR(K4&gt;=10,I4&gt;=4,J4&gt;=4),"High",IF(K4&gt;=5,"Moderate","Low"))))</x:f>
        <x:v>High</x:v>
      </x:c>
      <x:c r="M4" s="9" t="n">
        <x:v>4</x:v>
      </x:c>
      <x:c r="N4" s="9" t="n">
        <x:v>3</x:v>
      </x:c>
      <x:c r="O4" s="9" t="n">
        <x:v>3</x:v>
      </x:c>
      <x:c r="P4" s="9" t="n">
        <x:v>4</x:v>
      </x:c>
      <x:c r="Q4" s="9" t="n">
        <x:f>M4*N4</x:f>
        <x:v>12</x:v>
      </x:c>
      <x:c r="R4" s="9" t="str">
        <x:f>IF(OR(Q4="",O4="",P4=""),"",IF(OR(Q4&gt;=17,P4=5),"Critical",IF(OR(Q4&gt;=10,O4&gt;=4,P4&gt;=4),"High",IF(Q4&gt;=5,"Moderate","Low"))))</x:f>
        <x:v>High</x:v>
      </x:c>
      <x:c r="S4" s="9" t="str">
        <x:v>Not provided; proposed controls not credited</x:v>
      </x:c>
      <x:c r="T4" s="9" t="str">
        <x:v>Draft</x:v>
      </x:c>
      <x:c r="U4" s="9" t="str">
        <x:v>Not assigned</x:v>
      </x:c>
      <x:c r="V4" s="9"/>
      <x:c r="W4" s="9"/>
      <x:c r="X4" s="9" t="str">
        <x:v>Unfair scheduling outcomes; employee impacts; scores are illustrative, not empirically verified</x:v>
      </x:c>
    </x:row>
    <x:row r="5" ht="36" customHeight="1">
      <x:c r="A5" s="9" t="str">
        <x:v>RA-004</x:v>
      </x:c>
      <x:c r="B5" s="9" t="str">
        <x:v>AI-004</x:v>
      </x:c>
      <x:c r="C5" s="9" t="str">
        <x:v>Inventory forecasting AI</x:v>
      </x:c>
      <x:c r="D5" s="9" t="str">
        <x:v>Fully hypothetical</x:v>
      </x:c>
      <x:c r="E5" s="9" t="str">
        <x:v>Simulation assessor — TBD</x:v>
      </x:c>
      <x:c r="F5" s="9"/>
      <x:c r="G5" s="9" t="n">
        <x:v>3</x:v>
      </x:c>
      <x:c r="H5" s="9" t="n">
        <x:v>3</x:v>
      </x:c>
      <x:c r="I5" s="9" t="n">
        <x:v>2</x:v>
      </x:c>
      <x:c r="J5" s="9" t="n">
        <x:v>2</x:v>
      </x:c>
      <x:c r="K5" s="9" t="n">
        <x:f>G5*H5</x:f>
        <x:v>9</x:v>
      </x:c>
      <x:c r="L5" s="9" t="str">
        <x:f>IF(OR(K5="",I5="",J5=""),"",IF(OR(K5&gt;=17,J5=5),"Critical",IF(OR(K5&gt;=10,I5&gt;=4,J5&gt;=4),"High",IF(K5&gt;=5,"Moderate","Low"))))</x:f>
        <x:v>Moderate</x:v>
      </x:c>
      <x:c r="M5" s="9" t="n">
        <x:v>3</x:v>
      </x:c>
      <x:c r="N5" s="9" t="n">
        <x:v>3</x:v>
      </x:c>
      <x:c r="O5" s="9" t="n">
        <x:v>2</x:v>
      </x:c>
      <x:c r="P5" s="9" t="n">
        <x:v>2</x:v>
      </x:c>
      <x:c r="Q5" s="9" t="n">
        <x:f>M5*N5</x:f>
        <x:v>9</x:v>
      </x:c>
      <x:c r="R5" s="9" t="str">
        <x:f>IF(OR(Q5="",O5="",P5=""),"",IF(OR(Q5&gt;=17,P5=5),"Critical",IF(OR(Q5&gt;=10,O5&gt;=4,P5&gt;=4),"High",IF(Q5&gt;=5,"Moderate","Low"))))</x:f>
        <x:v>Moderate</x:v>
      </x:c>
      <x:c r="S5" s="9" t="str">
        <x:v>Not provided; proposed controls not credited</x:v>
      </x:c>
      <x:c r="T5" s="9" t="str">
        <x:v>Draft</x:v>
      </x:c>
      <x:c r="U5" s="9" t="str">
        <x:v>Not assigned</x:v>
      </x:c>
      <x:c r="V5" s="9"/>
      <x:c r="W5" s="9"/>
      <x:c r="X5" s="9" t="str">
        <x:v>Inventory availability and operational disruption; scores are illustrative, not empirically verified</x:v>
      </x:c>
    </x:row>
    <x:row r="6" ht="36" customHeight="1">
      <x:c r="A6" s="9" t="str">
        <x:v>RA-005</x:v>
      </x:c>
      <x:c r="B6" s="9" t="str">
        <x:v>AI-005</x:v>
      </x:c>
      <x:c r="C6" s="9" t="str">
        <x:v>Cybersecurity monitoring AI</x:v>
      </x:c>
      <x:c r="D6" s="9" t="str">
        <x:v>Fully hypothetical</x:v>
      </x:c>
      <x:c r="E6" s="9" t="str">
        <x:v>Simulation assessor — TBD</x:v>
      </x:c>
      <x:c r="F6" s="9"/>
      <x:c r="G6" s="9" t="n">
        <x:v>4</x:v>
      </x:c>
      <x:c r="H6" s="9" t="n">
        <x:v>3</x:v>
      </x:c>
      <x:c r="I6" s="9" t="n">
        <x:v>4</x:v>
      </x:c>
      <x:c r="J6" s="9" t="n">
        <x:v>3</x:v>
      </x:c>
      <x:c r="K6" s="9" t="n">
        <x:f>G6*H6</x:f>
        <x:v>12</x:v>
      </x:c>
      <x:c r="L6" s="9" t="str">
        <x:f>IF(OR(K6="",I6="",J6=""),"",IF(OR(K6&gt;=17,J6=5),"Critical",IF(OR(K6&gt;=10,I6&gt;=4,J6&gt;=4),"High",IF(K6&gt;=5,"Moderate","Low"))))</x:f>
        <x:v>High</x:v>
      </x:c>
      <x:c r="M6" s="9" t="n">
        <x:v>4</x:v>
      </x:c>
      <x:c r="N6" s="9" t="n">
        <x:v>3</x:v>
      </x:c>
      <x:c r="O6" s="9" t="n">
        <x:v>4</x:v>
      </x:c>
      <x:c r="P6" s="9" t="n">
        <x:v>3</x:v>
      </x:c>
      <x:c r="Q6" s="9" t="n">
        <x:f>M6*N6</x:f>
        <x:v>12</x:v>
      </x:c>
      <x:c r="R6" s="9" t="str">
        <x:f>IF(OR(Q6="",O6="",P6=""),"",IF(OR(Q6&gt;=17,P6=5),"Critical",IF(OR(Q6&gt;=10,O6&gt;=4,P6&gt;=4),"High",IF(Q6&gt;=5,"Moderate","Low"))))</x:f>
        <x:v>High</x:v>
      </x:c>
      <x:c r="S6" s="9" t="str">
        <x:v>Not provided; proposed controls not credited</x:v>
      </x:c>
      <x:c r="T6" s="9" t="str">
        <x:v>Draft</x:v>
      </x:c>
      <x:c r="U6" s="9" t="str">
        <x:v>Not assigned</x:v>
      </x:c>
      <x:c r="V6" s="9"/>
      <x:c r="W6" s="9"/>
      <x:c r="X6" s="9" t="str">
        <x:v>Missed threats; false flags; log-data exposure; scores are illustrative, not empirically verified</x:v>
      </x:c>
    </x:row>
  </x:sheetData>
  <x:dataValidations count="9">
    <x:dataValidation type="list" sqref="T2:T100">
      <x:formula1>"Draft,Evidence Pending,Quality Review,Approval Pending,Approved,Revision Required,Superseded"</x:formula1>
    </x:dataValidation>
    <x:dataValidation type="list" sqref="G2:G100">
      <x:formula1>"1,2,3,4,5"</x:formula1>
    </x:dataValidation>
    <x:dataValidation type="list" sqref="H2:H100">
      <x:formula1>"1,2,3,4,5"</x:formula1>
    </x:dataValidation>
    <x:dataValidation type="list" sqref="I2:I100">
      <x:formula1>"1,2,3,4,5"</x:formula1>
    </x:dataValidation>
    <x:dataValidation type="list" sqref="J2:J100">
      <x:formula1>"1,2,3,4,5"</x:formula1>
    </x:dataValidation>
    <x:dataValidation type="list" sqref="M2:M100">
      <x:formula1>"1,2,3,4,5"</x:formula1>
    </x:dataValidation>
    <x:dataValidation type="list" sqref="N2:N100">
      <x:formula1>"1,2,3,4,5"</x:formula1>
    </x:dataValidation>
    <x:dataValidation type="list" sqref="O2:O100">
      <x:formula1>"1,2,3,4,5"</x:formula1>
    </x:dataValidation>
    <x:dataValidation type="list" sqref="P2:P100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32" hidden="0" customWidth="1"/>
    <x:col min="5" max="5" width="18" hidden="0" customWidth="1"/>
    <x:col min="6" max="6" width="22" hidden="0" customWidth="1"/>
    <x:col min="7" max="7" width="22" hidden="0" customWidth="1"/>
    <x:col min="8" max="8" width="24" hidden="0" customWidth="1"/>
    <x:col min="9" max="9" width="24" hidden="0" customWidth="1"/>
    <x:col min="10" max="10" width="20" hidden="0" customWidth="1"/>
    <x:col min="11" max="11" width="70" hidden="0" customWidth="1"/>
  </x:cols>
  <x:sheetData>
    <x:row r="1" ht="29" customHeight="1">
      <x:c r="A1" s="8" t="str">
        <x:v>History ID</x:v>
      </x:c>
      <x:c r="B1" s="8" t="str">
        <x:v>Assessment ID</x:v>
      </x:c>
      <x:c r="C1" s="8" t="str">
        <x:v>AI System ID</x:v>
      </x:c>
      <x:c r="D1" s="8" t="str">
        <x:v>Snapshot / Event</x:v>
      </x:c>
      <x:c r="E1" s="8" t="str">
        <x:v>Record Date</x:v>
      </x:c>
      <x:c r="F1" s="8" t="str">
        <x:v>Previous Status</x:v>
      </x:c>
      <x:c r="G1" s="8" t="str">
        <x:v>New Status</x:v>
      </x:c>
      <x:c r="H1" s="8" t="str">
        <x:v>Inherent Classification</x:v>
      </x:c>
      <x:c r="I1" s="8" t="str">
        <x:v>Residual Classification</x:v>
      </x:c>
      <x:c r="J1" s="8" t="str">
        <x:v>Changed By</x:v>
      </x:c>
      <x:c r="K1" s="8" t="str">
        <x:v>Reason / Evidence Link</x:v>
      </x:c>
    </x:row>
    <x:row r="2" ht="36" customHeight="1">
      <x:c r="A2" s="9" t="str">
        <x:v>H-001</x:v>
      </x:c>
      <x:c r="B2" s="9" t="str">
        <x:v>RA-001</x:v>
      </x:c>
      <x:c r="C2" s="9" t="str">
        <x:v>AI-001</x:v>
      </x:c>
      <x:c r="D2" s="9" t="str">
        <x:v>Initial illustrative draft</x:v>
      </x:c>
      <x:c r="E2" s="9"/>
      <x:c r="F2" s="9" t="str"/>
      <x:c r="G2" s="9" t="str">
        <x:v>Draft</x:v>
      </x:c>
      <x:c r="H2" s="9" t="str"/>
      <x:c r="I2" s="9" t="str"/>
      <x:c r="J2" s="9" t="str">
        <x:v>Not assigned</x:v>
      </x:c>
      <x:c r="K2" s="9" t="str">
        <x:v>Initial example only; no formal prior decision</x:v>
      </x:c>
    </x:row>
    <x:row r="3" ht="36" customHeight="1">
      <x:c r="A3" s="9" t="str">
        <x:v>H-002</x:v>
      </x:c>
      <x:c r="B3" s="9" t="str">
        <x:v>RA-002</x:v>
      </x:c>
      <x:c r="C3" s="9" t="str">
        <x:v>AI-002</x:v>
      </x:c>
      <x:c r="D3" s="9" t="str">
        <x:v>Initial illustrative draft</x:v>
      </x:c>
      <x:c r="E3" s="9"/>
      <x:c r="F3" s="9" t="str"/>
      <x:c r="G3" s="9" t="str">
        <x:v>Draft</x:v>
      </x:c>
      <x:c r="H3" s="9" t="str"/>
      <x:c r="I3" s="9" t="str"/>
      <x:c r="J3" s="9" t="str">
        <x:v>Not assigned</x:v>
      </x:c>
      <x:c r="K3" s="9" t="str">
        <x:v>Initial example only; no formal prior decision</x:v>
      </x:c>
    </x:row>
    <x:row r="4" ht="36" customHeight="1">
      <x:c r="A4" s="9" t="str">
        <x:v>H-003</x:v>
      </x:c>
      <x:c r="B4" s="9" t="str">
        <x:v>RA-003</x:v>
      </x:c>
      <x:c r="C4" s="9" t="str">
        <x:v>AI-003</x:v>
      </x:c>
      <x:c r="D4" s="9" t="str">
        <x:v>Initial illustrative draft</x:v>
      </x:c>
      <x:c r="E4" s="9"/>
      <x:c r="F4" s="9" t="str"/>
      <x:c r="G4" s="9" t="str">
        <x:v>Draft</x:v>
      </x:c>
      <x:c r="H4" s="9" t="str"/>
      <x:c r="I4" s="9" t="str"/>
      <x:c r="J4" s="9" t="str">
        <x:v>Not assigned</x:v>
      </x:c>
      <x:c r="K4" s="9" t="str">
        <x:v>Initial example only; no formal prior decision</x:v>
      </x:c>
    </x:row>
    <x:row r="5" ht="36" customHeight="1">
      <x:c r="A5" s="9" t="str">
        <x:v>H-004</x:v>
      </x:c>
      <x:c r="B5" s="9" t="str">
        <x:v>RA-004</x:v>
      </x:c>
      <x:c r="C5" s="9" t="str">
        <x:v>AI-004</x:v>
      </x:c>
      <x:c r="D5" s="9" t="str">
        <x:v>Initial illustrative draft</x:v>
      </x:c>
      <x:c r="E5" s="9"/>
      <x:c r="F5" s="9" t="str"/>
      <x:c r="G5" s="9" t="str">
        <x:v>Draft</x:v>
      </x:c>
      <x:c r="H5" s="9" t="str"/>
      <x:c r="I5" s="9" t="str"/>
      <x:c r="J5" s="9" t="str">
        <x:v>Not assigned</x:v>
      </x:c>
      <x:c r="K5" s="9" t="str">
        <x:v>Initial example only; no formal prior decision</x:v>
      </x:c>
    </x:row>
    <x:row r="6" ht="36" customHeight="1">
      <x:c r="A6" s="9" t="str">
        <x:v>H-005</x:v>
      </x:c>
      <x:c r="B6" s="9" t="str">
        <x:v>RA-005</x:v>
      </x:c>
      <x:c r="C6" s="9" t="str">
        <x:v>AI-005</x:v>
      </x:c>
      <x:c r="D6" s="9" t="str">
        <x:v>Initial illustrative draft</x:v>
      </x:c>
      <x:c r="E6" s="9"/>
      <x:c r="F6" s="9" t="str"/>
      <x:c r="G6" s="9" t="str">
        <x:v>Draft</x:v>
      </x:c>
      <x:c r="H6" s="9" t="str"/>
      <x:c r="I6" s="9" t="str"/>
      <x:c r="J6" s="9" t="str">
        <x:v>Not assigned</x:v>
      </x:c>
      <x:c r="K6" s="9" t="str">
        <x:v>Initial example only; no formal prior decision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8" hidden="0" customWidth="1"/>
    <x:col min="4" max="4" width="26" hidden="0" customWidth="1"/>
    <x:col min="5" max="5" width="85" hidden="0" customWidth="1"/>
    <x:col min="6" max="6" width="18" hidden="0" customWidth="1"/>
    <x:col min="7" max="7" width="30" hidden="0" customWidth="1"/>
    <x:col min="8" max="8" width="30" hidden="0" customWidth="1"/>
    <x:col min="9" max="9" width="27" hidden="0" customWidth="1"/>
    <x:col min="10" max="10" width="19" hidden="0" customWidth="1"/>
  </x:cols>
  <x:sheetData>
    <x:row r="1" ht="29" customHeight="1">
      <x:c r="A1" s="8" t="str">
        <x:v>Risk ID</x:v>
      </x:c>
      <x:c r="B1" s="8" t="str">
        <x:v>AI System ID</x:v>
      </x:c>
      <x:c r="C1" s="8" t="str">
        <x:v>Treatment</x:v>
      </x:c>
      <x:c r="D1" s="8" t="str">
        <x:v>Responsible Owner</x:v>
      </x:c>
      <x:c r="E1" s="8" t="str">
        <x:v>Action / Proposed Control</x:v>
      </x:c>
      <x:c r="F1" s="8" t="str">
        <x:v>Target Date</x:v>
      </x:c>
      <x:c r="G1" s="8" t="str">
        <x:v>Evidence Ref</x:v>
      </x:c>
      <x:c r="H1" s="8" t="str">
        <x:v>Status</x:v>
      </x:c>
      <x:c r="I1" s="8" t="str">
        <x:v>Risk Acceptance Approver</x:v>
      </x:c>
      <x:c r="J1" s="8" t="str">
        <x:v>Acceptance Date</x:v>
      </x:c>
    </x:row>
    <x:row r="2" ht="36" customHeight="1">
      <x:c r="A2" s="9" t="str">
        <x:v>R-001</x:v>
      </x:c>
      <x:c r="B2" s="9" t="str">
        <x:v>AI-001</x:v>
      </x:c>
      <x:c r="C2" s="9" t="str">
        <x:v>Avoid</x:v>
      </x:c>
      <x:c r="D2" s="9" t="str">
        <x:v>Business Owner — TBD</x:v>
      </x:c>
      <x:c r="E2" s="9" t="str">
        <x:v>No deployment assumed; verify all applicable order restrictions and permissible use before any consideration</x:v>
      </x:c>
      <x:c r="F2" s="9"/>
      <x:c r="G2" s="9" t="str">
        <x:v>Legal review required</x:v>
      </x:c>
      <x:c r="H2" s="9" t="str">
        <x:v>Proposed, not implemented</x:v>
      </x:c>
      <x:c r="I2" s="9" t="str">
        <x:v>Not approved</x:v>
      </x:c>
      <x:c r="J2" s="9"/>
    </x:row>
    <x:row r="3" ht="36" customHeight="1">
      <x:c r="A3" s="9" t="str">
        <x:v>R-002</x:v>
      </x:c>
      <x:c r="B3" s="9" t="str">
        <x:v>AI-002</x:v>
      </x:c>
      <x:c r="C3" s="9" t="str">
        <x:v>Mitigate</x:v>
      </x:c>
      <x:c r="D3" s="9" t="str">
        <x:v>Business Owner — TBD</x:v>
      </x:c>
      <x:c r="E3" s="9" t="str">
        <x:v>Validate outputs, privacy safeguards and escalation to a human</x:v>
      </x:c>
      <x:c r="F3" s="9"/>
      <x:c r="G3" s="9" t="str">
        <x:v>Testing not supplied</x:v>
      </x:c>
      <x:c r="H3" s="9" t="str">
        <x:v>Proposed, not implemented</x:v>
      </x:c>
      <x:c r="I3" s="9" t="str">
        <x:v>Not approved</x:v>
      </x:c>
      <x:c r="J3" s="9"/>
    </x:row>
    <x:row r="4" ht="36" customHeight="1">
      <x:c r="A4" s="9" t="str">
        <x:v>R-003</x:v>
      </x:c>
      <x:c r="B4" s="9" t="str">
        <x:v>AI-003</x:v>
      </x:c>
      <x:c r="C4" s="9" t="str">
        <x:v>Mitigate</x:v>
      </x:c>
      <x:c r="D4" s="9" t="str">
        <x:v>Business Owner — TBD</x:v>
      </x:c>
      <x:c r="E4" s="9" t="str">
        <x:v>Fairness testing and employee appeal process</x:v>
      </x:c>
      <x:c r="F4" s="9"/>
      <x:c r="G4" s="9" t="str">
        <x:v>Testing not supplied</x:v>
      </x:c>
      <x:c r="H4" s="9" t="str">
        <x:v>Proposed, not implemented</x:v>
      </x:c>
      <x:c r="I4" s="9" t="str">
        <x:v>Not approved</x:v>
      </x:c>
      <x:c r="J4" s="9"/>
    </x:row>
    <x:row r="5" ht="36" customHeight="1">
      <x:c r="A5" s="9" t="str">
        <x:v>R-004</x:v>
      </x:c>
      <x:c r="B5" s="9" t="str">
        <x:v>AI-004</x:v>
      </x:c>
      <x:c r="C5" s="9" t="str">
        <x:v>Mitigate</x:v>
      </x:c>
      <x:c r="D5" s="9" t="str">
        <x:v>Business Owner — TBD</x:v>
      </x:c>
      <x:c r="E5" s="9" t="str">
        <x:v>Forecast validation and human override</x:v>
      </x:c>
      <x:c r="F5" s="9"/>
      <x:c r="G5" s="9" t="str">
        <x:v>Testing not supplied</x:v>
      </x:c>
      <x:c r="H5" s="9" t="str">
        <x:v>Proposed, not implemented</x:v>
      </x:c>
      <x:c r="I5" s="9" t="str">
        <x:v>Not approved</x:v>
      </x:c>
      <x:c r="J5" s="9"/>
    </x:row>
    <x:row r="6" ht="36" customHeight="1">
      <x:c r="A6" s="9" t="str">
        <x:v>R-005</x:v>
      </x:c>
      <x:c r="B6" s="9" t="str">
        <x:v>AI-005</x:v>
      </x:c>
      <x:c r="C6" s="9" t="str">
        <x:v>Mitigate</x:v>
      </x:c>
      <x:c r="D6" s="9" t="str">
        <x:v>Technical Owner — TBD</x:v>
      </x:c>
      <x:c r="E6" s="9" t="str">
        <x:v>Alert precision testing, access controls and analyst verification</x:v>
      </x:c>
      <x:c r="F6" s="9"/>
      <x:c r="G6" s="9" t="str">
        <x:v>Testing not supplied</x:v>
      </x:c>
      <x:c r="H6" s="9" t="str">
        <x:v>Proposed, not implemented</x:v>
      </x:c>
      <x:c r="I6" s="9" t="str">
        <x:v>Not approved</x:v>
      </x:c>
      <x:c r="J6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0" hidden="0" customWidth="1"/>
    <x:col min="4" max="4" width="75" hidden="0" customWidth="1"/>
    <x:col min="5" max="5" width="17" hidden="0" customWidth="1"/>
    <x:col min="6" max="6" width="29" hidden="0" customWidth="1"/>
    <x:col min="7" max="7" width="26" hidden="0" customWidth="1"/>
    <x:col min="8" max="8" width="23" hidden="0" customWidth="1"/>
    <x:col min="9" max="9" width="65" hidden="0" customWidth="1"/>
  </x:cols>
  <x:sheetData>
    <x:row r="1" ht="29" customHeight="1">
      <x:c r="A1" s="8" t="str">
        <x:v>Evidence ID</x:v>
      </x:c>
      <x:c r="B1" s="8" t="str">
        <x:v>Assessment ID</x:v>
      </x:c>
      <x:c r="C1" s="8" t="str">
        <x:v>Category</x:v>
      </x:c>
      <x:c r="D1" s="8" t="str">
        <x:v>Reference / Description</x:v>
      </x:c>
      <x:c r="E1" s="8" t="str">
        <x:v>Available?</x:v>
      </x:c>
      <x:c r="F1" s="8" t="str">
        <x:v>Material Gap?</x:v>
      </x:c>
      <x:c r="G1" s="8" t="str">
        <x:v>Responsible Owner</x:v>
      </x:c>
      <x:c r="H1" s="8" t="str">
        <x:v>Follow-up Deadline</x:v>
      </x:c>
      <x:c r="I1" s="8" t="str">
        <x:v>Resolution / Review Note</x:v>
      </x:c>
    </x:row>
    <x:row r="2" ht="36" customHeight="1">
      <x:c r="A2" s="9" t="str">
        <x:v>EV-001</x:v>
      </x:c>
      <x:c r="B2" s="9" t="str">
        <x:v>RA-001</x:v>
      </x:c>
      <x:c r="C2" s="9" t="str">
        <x:v>Control testing results</x:v>
      </x:c>
      <x:c r="D2" s="9" t="str">
        <x:v>No actual control effectiveness evidence in educational simulation</x:v>
      </x:c>
      <x:c r="E2" s="9" t="str">
        <x:v>No</x:v>
      </x:c>
      <x:c r="F2" s="9" t="str">
        <x:v>Yes — for real authorization</x:v>
      </x:c>
      <x:c r="G2" s="9" t="str">
        <x:v>Technical Owner — TBD</x:v>
      </x:c>
      <x:c r="H2" s="9"/>
      <x:c r="I2" s="9" t="str">
        <x:v>Assessment remains Draft; no residual reduction claimed</x:v>
      </x:c>
    </x:row>
    <x:row r="3" ht="36" customHeight="1">
      <x:c r="A3" s="9" t="str">
        <x:v>EV-002</x:v>
      </x:c>
      <x:c r="B3" s="9" t="str">
        <x:v>RA-002</x:v>
      </x:c>
      <x:c r="C3" s="9" t="str">
        <x:v>Control testing results</x:v>
      </x:c>
      <x:c r="D3" s="9" t="str">
        <x:v>No actual control effectiveness evidence in educational simulation</x:v>
      </x:c>
      <x:c r="E3" s="9" t="str">
        <x:v>No</x:v>
      </x:c>
      <x:c r="F3" s="9" t="str">
        <x:v>Yes — for real authorization</x:v>
      </x:c>
      <x:c r="G3" s="9" t="str">
        <x:v>Technical Owner — TBD</x:v>
      </x:c>
      <x:c r="H3" s="9"/>
      <x:c r="I3" s="9" t="str">
        <x:v>Assessment remains Draft; no residual reduction claimed</x:v>
      </x:c>
    </x:row>
    <x:row r="4" ht="36" customHeight="1">
      <x:c r="A4" s="9" t="str">
        <x:v>EV-003</x:v>
      </x:c>
      <x:c r="B4" s="9" t="str">
        <x:v>RA-003</x:v>
      </x:c>
      <x:c r="C4" s="9" t="str">
        <x:v>Control testing results</x:v>
      </x:c>
      <x:c r="D4" s="9" t="str">
        <x:v>No actual control effectiveness evidence in educational simulation</x:v>
      </x:c>
      <x:c r="E4" s="9" t="str">
        <x:v>No</x:v>
      </x:c>
      <x:c r="F4" s="9" t="str">
        <x:v>Yes — for real authorization</x:v>
      </x:c>
      <x:c r="G4" s="9" t="str">
        <x:v>Technical Owner — TBD</x:v>
      </x:c>
      <x:c r="H4" s="9"/>
      <x:c r="I4" s="9" t="str">
        <x:v>Assessment remains Draft; no residual reduction claimed</x:v>
      </x:c>
    </x:row>
    <x:row r="5" ht="36" customHeight="1">
      <x:c r="A5" s="9" t="str">
        <x:v>EV-004</x:v>
      </x:c>
      <x:c r="B5" s="9" t="str">
        <x:v>RA-004</x:v>
      </x:c>
      <x:c r="C5" s="9" t="str">
        <x:v>Control testing results</x:v>
      </x:c>
      <x:c r="D5" s="9" t="str">
        <x:v>No actual control effectiveness evidence in educational simulation</x:v>
      </x:c>
      <x:c r="E5" s="9" t="str">
        <x:v>No</x:v>
      </x:c>
      <x:c r="F5" s="9" t="str">
        <x:v>Yes — for real authorization</x:v>
      </x:c>
      <x:c r="G5" s="9" t="str">
        <x:v>Technical Owner — TBD</x:v>
      </x:c>
      <x:c r="H5" s="9"/>
      <x:c r="I5" s="9" t="str">
        <x:v>Assessment remains Draft; no residual reduction claimed</x:v>
      </x:c>
    </x:row>
    <x:row r="6" ht="36" customHeight="1">
      <x:c r="A6" s="9" t="str">
        <x:v>EV-005</x:v>
      </x:c>
      <x:c r="B6" s="9" t="str">
        <x:v>RA-005</x:v>
      </x:c>
      <x:c r="C6" s="9" t="str">
        <x:v>Control testing results</x:v>
      </x:c>
      <x:c r="D6" s="9" t="str">
        <x:v>No actual control effectiveness evidence in educational simulation</x:v>
      </x:c>
      <x:c r="E6" s="9" t="str">
        <x:v>No</x:v>
      </x:c>
      <x:c r="F6" s="9" t="str">
        <x:v>Yes — for real authorization</x:v>
      </x:c>
      <x:c r="G6" s="9" t="str">
        <x:v>Technical Owner — TBD</x:v>
      </x:c>
      <x:c r="H6" s="9"/>
      <x:c r="I6" s="9" t="str">
        <x:v>Assessment remains Draft; no residual reduction claimed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  <x:col min="5" max="5" width="31" hidden="0" customWidth="1"/>
    <x:col min="6" max="6" width="34" hidden="0" customWidth="1"/>
    <x:col min="7" max="7" width="23" hidden="0" customWidth="1"/>
    <x:col min="8" max="8" width="22" hidden="0" customWidth="1"/>
    <x:col min="9" max="9" width="24" hidden="0" customWidth="1"/>
    <x:col min="10" max="10" width="21" hidden="0" customWidth="1"/>
    <x:col min="11" max="11" width="76" hidden="0" customWidth="1"/>
  </x:cols>
  <x:sheetData>
    <x:row r="1" ht="29" customHeight="1">
      <x:c r="A1" s="8" t="str">
        <x:v>Assessment ID</x:v>
      </x:c>
      <x:c r="B1" s="8" t="str">
        <x:v>GRC Assessor</x:v>
      </x:c>
      <x:c r="C1" s="8" t="str">
        <x:v>Quality Reviewer</x:v>
      </x:c>
      <x:c r="D1" s="8" t="str">
        <x:v>QA Status</x:v>
      </x:c>
      <x:c r="E1" s="8" t="str">
        <x:v>Independence Exception</x:v>
      </x:c>
      <x:c r="F1" s="8" t="str">
        <x:v>Risk Acceptance Authority</x:v>
      </x:c>
      <x:c r="G1" s="8" t="str">
        <x:v>Approval / Acceptance</x:v>
      </x:c>
      <x:c r="H1" s="8" t="str">
        <x:v>Approval Date</x:v>
      </x:c>
      <x:c r="I1" s="8" t="str">
        <x:v>Deployment Authorization</x:v>
      </x:c>
      <x:c r="J1" s="8" t="str">
        <x:v>Next Review Date</x:v>
      </x:c>
      <x:c r="K1" s="8" t="str">
        <x:v>Rationale / Conditions</x:v>
      </x:c>
    </x:row>
    <x:row r="2" ht="36" customHeight="1">
      <x:c r="A2" s="9" t="str">
        <x:v>RA-001</x:v>
      </x:c>
      <x:c r="B2" s="9" t="str">
        <x:v>TBD</x:v>
      </x:c>
      <x:c r="C2" s="9" t="str">
        <x:v>TBD</x:v>
      </x:c>
      <x:c r="D2" s="9" t="str">
        <x:v>Not performed</x:v>
      </x:c>
      <x:c r="E2" s="9" t="str">
        <x:v>None recorded</x:v>
      </x:c>
      <x:c r="F2" s="9" t="str">
        <x:v>Determined by final residual risk</x:v>
      </x:c>
      <x:c r="G2" s="9" t="str">
        <x:v>Not approved</x:v>
      </x:c>
      <x:c r="H2" s="9"/>
      <x:c r="I2" s="9" t="str">
        <x:v>Not authorized</x:v>
      </x:c>
      <x:c r="J2" s="9"/>
      <x:c r="K2" s="9" t="str">
        <x:v>Illustrative scores only; complete evidence and legal review needed</x:v>
      </x:c>
    </x:row>
    <x:row r="3" ht="36" customHeight="1">
      <x:c r="A3" s="9" t="str">
        <x:v>RA-002</x:v>
      </x:c>
      <x:c r="B3" s="9" t="str">
        <x:v>TBD</x:v>
      </x:c>
      <x:c r="C3" s="9" t="str">
        <x:v>TBD</x:v>
      </x:c>
      <x:c r="D3" s="9" t="str">
        <x:v>Not performed</x:v>
      </x:c>
      <x:c r="E3" s="9" t="str">
        <x:v>None recorded</x:v>
      </x:c>
      <x:c r="F3" s="9" t="str">
        <x:v>Determined by final residual risk</x:v>
      </x:c>
      <x:c r="G3" s="9" t="str">
        <x:v>Not approved</x:v>
      </x:c>
      <x:c r="H3" s="9"/>
      <x:c r="I3" s="9" t="str">
        <x:v>Not authorized</x:v>
      </x:c>
      <x:c r="J3" s="9"/>
      <x:c r="K3" s="9" t="str">
        <x:v>Illustrative scores only; complete evidence and legal review needed</x:v>
      </x:c>
    </x:row>
    <x:row r="4" ht="36" customHeight="1">
      <x:c r="A4" s="9" t="str">
        <x:v>RA-003</x:v>
      </x:c>
      <x:c r="B4" s="9" t="str">
        <x:v>TBD</x:v>
      </x:c>
      <x:c r="C4" s="9" t="str">
        <x:v>TBD</x:v>
      </x:c>
      <x:c r="D4" s="9" t="str">
        <x:v>Not performed</x:v>
      </x:c>
      <x:c r="E4" s="9" t="str">
        <x:v>None recorded</x:v>
      </x:c>
      <x:c r="F4" s="9" t="str">
        <x:v>Determined by final residual risk</x:v>
      </x:c>
      <x:c r="G4" s="9" t="str">
        <x:v>Not approved</x:v>
      </x:c>
      <x:c r="H4" s="9"/>
      <x:c r="I4" s="9" t="str">
        <x:v>Not authorized</x:v>
      </x:c>
      <x:c r="J4" s="9"/>
      <x:c r="K4" s="9" t="str">
        <x:v>Illustrative scores only; complete evidence and legal review needed</x:v>
      </x:c>
    </x:row>
    <x:row r="5" ht="36" customHeight="1">
      <x:c r="A5" s="9" t="str">
        <x:v>RA-004</x:v>
      </x:c>
      <x:c r="B5" s="9" t="str">
        <x:v>TBD</x:v>
      </x:c>
      <x:c r="C5" s="9" t="str">
        <x:v>TBD</x:v>
      </x:c>
      <x:c r="D5" s="9" t="str">
        <x:v>Not performed</x:v>
      </x:c>
      <x:c r="E5" s="9" t="str">
        <x:v>None recorded</x:v>
      </x:c>
      <x:c r="F5" s="9" t="str">
        <x:v>Determined by final residual risk</x:v>
      </x:c>
      <x:c r="G5" s="9" t="str">
        <x:v>Not approved</x:v>
      </x:c>
      <x:c r="H5" s="9"/>
      <x:c r="I5" s="9" t="str">
        <x:v>Not authorized</x:v>
      </x:c>
      <x:c r="J5" s="9"/>
      <x:c r="K5" s="9" t="str">
        <x:v>Illustrative scores only; complete evidence and legal review needed</x:v>
      </x:c>
    </x:row>
    <x:row r="6" ht="36" customHeight="1">
      <x:c r="A6" s="9" t="str">
        <x:v>RA-005</x:v>
      </x:c>
      <x:c r="B6" s="9" t="str">
        <x:v>TBD</x:v>
      </x:c>
      <x:c r="C6" s="9" t="str">
        <x:v>TBD</x:v>
      </x:c>
      <x:c r="D6" s="9" t="str">
        <x:v>Not performed</x:v>
      </x:c>
      <x:c r="E6" s="9" t="str">
        <x:v>None recorded</x:v>
      </x:c>
      <x:c r="F6" s="9" t="str">
        <x:v>Determined by final residual risk</x:v>
      </x:c>
      <x:c r="G6" s="9" t="str">
        <x:v>Not approved</x:v>
      </x:c>
      <x:c r="H6" s="9"/>
      <x:c r="I6" s="9" t="str">
        <x:v>Not authorized</x:v>
      </x:c>
      <x:c r="J6" s="9"/>
      <x:c r="K6" s="9" t="str">
        <x:v>Illustrative scores only; complete evidence and legal review needed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0" hidden="0" customWidth="1"/>
  </x:cols>
  <x:sheetData>
    <x:row r="1" ht="29" customHeight="1">
      <x:c r="A1" s="8" t="str">
        <x:v>Element</x:v>
      </x:c>
      <x:c r="B1" s="8" t="str">
        <x:v>Rule / required record</x:v>
      </x:c>
    </x:row>
    <x:row r="2" ht="36" customHeight="1">
      <x:c r="A2" s="9" t="str">
        <x:v>Impact / Likelihood / Data Sensitivity / Human Impact</x:v>
      </x:c>
      <x:c r="B2" s="9" t="str">
        <x:v>Enter integer from 1 to 5; document reasons and available evidence.</x:v>
      </x:c>
    </x:row>
    <x:row r="3" ht="36" customHeight="1">
      <x:c r="A3" s="9" t="str">
        <x:v>Base Score</x:v>
      </x:c>
      <x:c r="B3" s="9" t="str">
        <x:v>Impact × Likelihood; 1–4 Low; 5–9 Moderate; 10–16 High; 17–25 Critical.</x:v>
      </x:c>
    </x:row>
    <x:row r="4" ht="36" customHeight="1">
      <x:c r="A4" s="9" t="str">
        <x:v>Escalation rule</x:v>
      </x:c>
      <x:c r="B4" s="9" t="str">
        <x:v>Data Sensitivity ≥4: minimum High; Human Impact=4: minimum High; Human Impact=5: minimum Critical.</x:v>
      </x:c>
    </x:row>
    <x:row r="5" ht="36" customHeight="1">
      <x:c r="A5" s="9" t="str">
        <x:v>Residual scoring</x:v>
      </x:c>
      <x:c r="B5" s="9" t="str">
        <x:v>Repeat same four-factor method; score reductions require tested control evidence.</x:v>
      </x:c>
    </x:row>
    <x:row r="6" ht="36" customHeight="1">
      <x:c r="A6" s="9" t="str">
        <x:v>High risk</x:v>
      </x:c>
      <x:c r="B6" s="9" t="str">
        <x:v>Escalate within 2 business days; committee approval for risk acceptance; distinct deployment approval applies.</x:v>
      </x:c>
    </x:row>
    <x:row r="7" ht="36" customHeight="1">
      <x:c r="A7" s="9" t="str">
        <x:v>Critical risk</x:v>
      </x:c>
      <x:c r="B7" s="9" t="str">
        <x:v>Escalate immediately; committee and executive acceptance; legal restrictions apply.</x:v>
      </x:c>
    </x:row>
    <x:row r="8" ht="36" customHeight="1">
      <x:c r="A8" s="9" t="str">
        <x:v>Material evidence gaps</x:v>
      </x:c>
      <x:c r="B8" s="9" t="str">
        <x:v>Remain pending; no final approval before resolution.</x:v>
      </x:c>
    </x:row>
    <x:row r="9" ht="36" customHeight="1">
      <x:c r="A9" s="9" t="str">
        <x:v>Four risk treatments</x:v>
      </x:c>
      <x:c r="B9" s="9" t="str">
        <x:v>Mitigate, Avoid, Transfer/Share, Accept. Risk is not transferred away from legal accountability.</x:v>
      </x:c>
    </x:row>
    <x:row r="10" ht="36" customHeight="1">
      <x:c r="A10" s="9" t="str">
        <x:v>Serious incident</x:v>
      </x:c>
      <x:c r="B10" s="9" t="str">
        <x:v>Immediate suspension of affected high-risk function, investigation, documented restart approval.</x:v>
      </x:c>
    </x:row>
    <x:row r="11" ht="36" customHeight="1">
      <x:c r="A11" s="9" t="str">
        <x:v>Status list</x:v>
      </x:c>
      <x:c r="B11" s="9" t="str">
        <x:v>Draft; Evidence Pending; Quality Review; Approval Pending; Approved; Revision Required; Superseded.</x:v>
      </x:c>
    </x:row>
    <x:row r="12" ht="36" customHeight="1">
      <x:c r="A12" s="9" t="str">
        <x:v>Reassessment</x:v>
      </x:c>
      <x:c r="B12" s="9" t="str">
        <x:v>Material change before implementation; incident; control failure; regulatory change; scheduled risk-based review.</x:v>
      </x:c>
    </x:row>
  </x:sheetData>
  <x:pageMargins left="0.7" right="0.7" top="0.75" bottom="0.75" header="0.3" footer="0.3"/>
</x:worksheet>
</file>
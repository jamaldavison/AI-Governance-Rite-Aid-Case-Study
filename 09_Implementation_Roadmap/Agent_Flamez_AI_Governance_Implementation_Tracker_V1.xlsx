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7ad58d8bb4b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7262a5927234ef6"/>
    <x:sheet xmlns:r="http://schemas.openxmlformats.org/officeDocument/2006/relationships" name="Implementation Tasks" sheetId="2" r:id="R2f6baa254d2c437f"/>
    <x:sheet xmlns:r="http://schemas.openxmlformats.org/officeDocument/2006/relationships" name="RACI Matrix" sheetId="3" r:id="R7d507bc990b441aa"/>
    <x:sheet xmlns:r="http://schemas.openxmlformats.org/officeDocument/2006/relationships" name="Milestone Gates" sheetId="4" r:id="Rd585c498a2464114"/>
    <x:sheet xmlns:r="http://schemas.openxmlformats.org/officeDocument/2006/relationships" name="Evidence Register" sheetId="5" r:id="R1a321086749a4a7a"/>
    <x:sheet xmlns:r="http://schemas.openxmlformats.org/officeDocument/2006/relationships" name="Risks and Issues" sheetId="6" r:id="R3491ac22e6a845df"/>
    <x:sheet xmlns:r="http://schemas.openxmlformats.org/officeDocument/2006/relationships" name="Change and Decision Log" sheetId="7" r:id="R0605f38a9a034069"/>
    <x:sheet xmlns:r="http://schemas.openxmlformats.org/officeDocument/2006/relationships" name="Resources and Assumptions" sheetId="8" r:id="Rb521d2eef61945a4"/>
    <x:sheet xmlns:r="http://schemas.openxmlformats.org/officeDocument/2006/relationships" name="NIST AI RMF Mapping" sheetId="9" r:id="R54c00084bb564f17"/>
    <x:sheet xmlns:r="http://schemas.openxmlformats.org/officeDocument/2006/relationships" name="Operational Handoff" sheetId="10" r:id="R6d57339e23c047c8"/>
    <x:sheet xmlns:r="http://schemas.openxmlformats.org/officeDocument/2006/relationships" name="Reference and Instructions" sheetId="11" r:id="R8be6c9f25891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67D8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0203d3d8e4338" /><Relationship Type="http://schemas.openxmlformats.org/officeDocument/2006/relationships/theme" Target="/xl/theme/theme1.xml" Id="Rc4d43172e034466a" /><Relationship Type="http://schemas.openxmlformats.org/officeDocument/2006/relationships/sharedStrings" Target="/xl/sharedStrings.xml" Id="R7eaf034e5dae4a43" /><Relationship Type="http://schemas.openxmlformats.org/officeDocument/2006/relationships/worksheet" Target="/xl/worksheets/sheet1.xml" Id="Rc7262a5927234ef6" /><Relationship Type="http://schemas.openxmlformats.org/officeDocument/2006/relationships/worksheet" Target="/xl/worksheets/sheet2.xml" Id="R2f6baa254d2c437f" /><Relationship Type="http://schemas.openxmlformats.org/officeDocument/2006/relationships/worksheet" Target="/xl/worksheets/sheet3.xml" Id="R7d507bc990b441aa" /><Relationship Type="http://schemas.openxmlformats.org/officeDocument/2006/relationships/worksheet" Target="/xl/worksheets/sheet4.xml" Id="Rd585c498a2464114" /><Relationship Type="http://schemas.openxmlformats.org/officeDocument/2006/relationships/worksheet" Target="/xl/worksheets/sheet5.xml" Id="R1a321086749a4a7a" /><Relationship Type="http://schemas.openxmlformats.org/officeDocument/2006/relationships/worksheet" Target="/xl/worksheets/sheet6.xml" Id="R3491ac22e6a845df" /><Relationship Type="http://schemas.openxmlformats.org/officeDocument/2006/relationships/worksheet" Target="/xl/worksheets/sheet7.xml" Id="R0605f38a9a034069" /><Relationship Type="http://schemas.openxmlformats.org/officeDocument/2006/relationships/worksheet" Target="/xl/worksheets/sheet8.xml" Id="Rb521d2eef61945a4" /><Relationship Type="http://schemas.openxmlformats.org/officeDocument/2006/relationships/worksheet" Target="/xl/worksheets/sheet9.xml" Id="R54c00084bb564f17" /><Relationship Type="http://schemas.openxmlformats.org/officeDocument/2006/relationships/worksheet" Target="/xl/worksheets/sheet10.xml" Id="R6d57339e23c047c8" /><Relationship Type="http://schemas.openxmlformats.org/officeDocument/2006/relationships/worksheet" Target="/xl/worksheets/sheet11.xml" Id="R8be6c9f2589149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4" hidden="0" customWidth="1"/>
    <x:col min="3" max="3" width="17" hidden="0" customWidth="1"/>
    <x:col min="4" max="4" width="59" hidden="0" customWidth="1"/>
  </x:cols>
  <x:sheetData>
    <x:row r="1" ht="32" customHeight="1">
      <x:c r="A1" s="3" t="str">
        <x:v>IMPLEMENTATION READINESS | EDUCATIONAL SIMULATION</x:v>
      </x:c>
      <x:c r="B1" s="3" t="str"/>
      <x:c r="C1" s="3" t="str"/>
      <x:c r="D1" s="3" t="str"/>
    </x:row>
    <x:row r="3">
      <x:c r="A3" s="9" t="str">
        <x:v>Indicator</x:v>
      </x:c>
      <x:c r="B3" s="9" t="str">
        <x:v>Current result</x:v>
      </x:c>
      <x:c r="C3" s="9" t="str">
        <x:v>Unit</x:v>
      </x:c>
      <x:c r="D3" s="9" t="str">
        <x:v>Interpretation</x:v>
      </x:c>
    </x:row>
    <x:row r="4">
      <x:c r="A4" t="str">
        <x:v>Total planned tasks</x:v>
      </x:c>
      <x:c r="B4" t="n">
        <x:f>COUNTA('Implementation Tasks'!A2:A33)</x:f>
        <x:v>32</x:v>
      </x:c>
      <x:c r="C4" t="str">
        <x:v>Units</x:v>
      </x:c>
      <x:c r="D4" t="str">
        <x:v>32 illustrative tasks</x:v>
      </x:c>
    </x:row>
    <x:row r="5">
      <x:c r="A5" t="str">
        <x:v>Task status — Not Started</x:v>
      </x:c>
      <x:c r="B5" t="n">
        <x:f>COUNTIF('Implementation Tasks'!O2:O33,"Not Started")</x:f>
        <x:v>32</x:v>
      </x:c>
      <x:c r="C5" t="str">
        <x:v>Tasks</x:v>
      </x:c>
      <x:c r="D5" t="str">
        <x:v>Initially all 32</x:v>
      </x:c>
    </x:row>
    <x:row r="6">
      <x:c r="A6" t="str">
        <x:v>Verified task completion</x:v>
      </x:c>
      <x:c r="B6" t="str">
        <x:f>IF(COUNTIF('Implementation Tasks'!O2:O33,"Completed")=0,"Not Measured",COUNTIFS('Implementation Tasks'!O2:O33,"Completed",'Implementation Tasks'!T2:T33,"PASS")/COUNTA('Implementation Tasks'!A2:A33))</x:f>
        <x:v>Not Measured</x:v>
      </x:c>
      <x:c r="C6" t="str">
        <x:v>Rate</x:v>
      </x:c>
      <x:c r="D6" t="str">
        <x:v>No verified completions recorded</x:v>
      </x:c>
    </x:row>
    <x:row r="7">
      <x:c r="A7" t="str">
        <x:v>Milestone approvals</x:v>
      </x:c>
      <x:c r="B7" t="n">
        <x:f>COUNTIF('Milestone Gates'!G2:G4,"Approved")</x:f>
        <x:v>0</x:v>
      </x:c>
      <x:c r="C7" t="str">
        <x:v>Gates</x:v>
      </x:c>
      <x:c r="D7" t="str">
        <x:v>Only evidence-backed approvals</x:v>
      </x:c>
    </x:row>
    <x:row r="8">
      <x:c r="A8" t="str">
        <x:v>AI inventory coverage</x:v>
      </x:c>
      <x:c r="B8" t="str">
        <x:v>Not Measured</x:v>
      </x:c>
      <x:c r="C8" t="str">
        <x:v>Coverage</x:v>
      </x:c>
      <x:c r="D8" t="str">
        <x:v>No operating inventory evidence</x:v>
      </x:c>
    </x:row>
    <x:row r="9">
      <x:c r="A9" t="str">
        <x:v>Risk assessment coverage</x:v>
      </x:c>
      <x:c r="B9" t="str">
        <x:v>Not Measured</x:v>
      </x:c>
      <x:c r="C9" t="str">
        <x:v>Coverage</x:v>
      </x:c>
      <x:c r="D9" t="str">
        <x:v>No approved operating assessments</x:v>
      </x:c>
    </x:row>
    <x:row r="10">
      <x:c r="A10" t="str">
        <x:v>Vendor review completion</x:v>
      </x:c>
      <x:c r="B10" t="str">
        <x:v>Not Measured</x:v>
      </x:c>
      <x:c r="C10" t="str">
        <x:v>Coverage</x:v>
      </x:c>
      <x:c r="D10" t="str">
        <x:v>No reviews reported</x:v>
      </x:c>
    </x:row>
    <x:row r="11">
      <x:c r="A11" t="str">
        <x:v>Control verification rate</x:v>
      </x:c>
      <x:c r="B11" t="str">
        <x:v>Not Measured</x:v>
      </x:c>
      <x:c r="C11" t="str">
        <x:v>Rate</x:v>
      </x:c>
      <x:c r="D11" t="str">
        <x:v>No operational testing records</x:v>
      </x:c>
    </x:row>
    <x:row r="12">
      <x:c r="A12" t="str">
        <x:v>P0/P1 open remediation</x:v>
      </x:c>
      <x:c r="B12" t="str">
        <x:v>Not Measured</x:v>
      </x:c>
      <x:c r="C12" t="str">
        <x:v>Count</x:v>
      </x:c>
      <x:c r="D12" t="str">
        <x:v>Issue register initially blank</x:v>
      </x:c>
    </x:row>
    <x:row r="13">
      <x:c r="A13" t="str">
        <x:v>Monitoring and incident readiness</x:v>
      </x:c>
      <x:c r="B13" t="str">
        <x:v>Not Measured</x:v>
      </x:c>
      <x:c r="C13" t="str">
        <x:v>State</x:v>
      </x:c>
      <x:c r="D13" t="str">
        <x:v>Readiness not verified</x:v>
      </x:c>
    </x:row>
    <x:row r="14">
      <x:c r="A14" t="str">
        <x:v>Evidence acceptance rate</x:v>
      </x:c>
      <x:c r="B14" t="str">
        <x:v>Not Measured</x:v>
      </x:c>
      <x:c r="C14" t="str">
        <x:v>Rate</x:v>
      </x:c>
      <x:c r="D14" t="str">
        <x:v>No submitted evidence</x:v>
      </x:c>
    </x:row>
    <x:row r="15">
      <x:c r="A15" t="str">
        <x:v>Data-quality flags</x:v>
      </x:c>
      <x:c r="B15" t="n">
        <x:f>COUNTIF('Implementation Tasks'!T2:T33,"MISSING APPROVAL/EVIDENCE")+COUNTIF('Implementation Tasks'!U2:U33,"MISSING ACCOUNTABLE")+COUNTIF('Implementation Tasks'!U2:U33,"MULTIPLE ACCOUNTABLE")</x:f>
        <x:v>0</x:v>
      </x:c>
      <x:c r="C15" t="str">
        <x:v>Flags</x:v>
      </x:c>
      <x:c r="D15" t="str">
        <x:v>Formula checks are not approvals</x:v>
      </x:c>
    </x:row>
    <x:row r="17">
      <x:c r="A17" t="str">
        <x:v>DRAFT — AWAITING REVIEW | Proposed task schedules and references do not evidence real-world execution.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48" hidden="0" customWidth="1"/>
    <x:col min="4" max="4" width="11" hidden="0" customWidth="1"/>
    <x:col min="5" max="5" width="12" hidden="0" customWidth="1"/>
    <x:col min="6" max="6" width="24" hidden="0" customWidth="1"/>
    <x:col min="7" max="7" width="27" hidden="0" customWidth="1"/>
    <x:col min="8" max="8" width="36" hidden="0" customWidth="1"/>
    <x:col min="9" max="9" width="36" hidden="0" customWidth="1"/>
    <x:col min="10" max="10" width="19" hidden="0" customWidth="1"/>
    <x:col min="11" max="11" width="12" hidden="0" customWidth="1"/>
    <x:col min="12" max="12" width="45" hidden="0" customWidth="1"/>
    <x:col min="13" max="13" width="20" hidden="0" customWidth="1"/>
    <x:col min="14" max="14" width="45" hidden="0" customWidth="1"/>
    <x:col min="15" max="15" width="22" hidden="0" customWidth="1"/>
    <x:col min="16" max="16" width="15" hidden="0" customWidth="1"/>
    <x:col min="17" max="17" width="16" hidden="0" customWidth="1"/>
    <x:col min="18" max="18" width="24" hidden="0" customWidth="1"/>
    <x:col min="19" max="19" width="22" hidden="0" customWidth="1"/>
    <x:col min="20" max="20" width="26" hidden="0" customWidth="1"/>
    <x:col min="21" max="21" width="20" hidden="0" customWidth="1"/>
  </x:cols>
  <x:sheetData>
    <x:row r="1" ht="30" customHeight="1">
      <x:c r="A1" s="4" t="str">
        <x:v>Task ID</x:v>
      </x:c>
      <x:c r="B1" s="4" t="str">
        <x:v>Workstream</x:v>
      </x:c>
      <x:c r="C1" s="4" t="str">
        <x:v>Implementation task</x:v>
      </x:c>
      <x:c r="D1" s="4" t="str">
        <x:v>Phase</x:v>
      </x:c>
      <x:c r="E1" s="4" t="str">
        <x:v>Priority</x:v>
      </x:c>
      <x:c r="F1" s="4" t="str">
        <x:v>Responsible</x:v>
      </x:c>
      <x:c r="G1" s="4" t="str">
        <x:v>Accountable</x:v>
      </x:c>
      <x:c r="H1" s="4" t="str">
        <x:v>Consulted</x:v>
      </x:c>
      <x:c r="I1" s="4" t="str">
        <x:v>Informed</x:v>
      </x:c>
      <x:c r="J1" s="4" t="str">
        <x:v>Dependency IDs</x:v>
      </x:c>
      <x:c r="K1" s="4" t="str">
        <x:v>Gate day</x:v>
      </x:c>
      <x:c r="L1" s="4" t="str">
        <x:v>Expected evidence (not collected)</x:v>
      </x:c>
      <x:c r="M1" s="4" t="str">
        <x:v>NIST subcategory</x:v>
      </x:c>
      <x:c r="N1" s="4" t="str">
        <x:v>Mapping rationale</x:v>
      </x:c>
      <x:c r="O1" s="4" t="str">
        <x:v>Status</x:v>
      </x:c>
      <x:c r="P1" s="4" t="str">
        <x:v>Evidence ID</x:v>
      </x:c>
      <x:c r="Q1" s="4" t="str">
        <x:v>GRC verified?</x:v>
      </x:c>
      <x:c r="R1" s="4" t="str">
        <x:v>Approval authority/decision</x:v>
      </x:c>
      <x:c r="S1" s="4" t="str">
        <x:v>Approval reference</x:v>
      </x:c>
      <x:c r="T1" s="4" t="str">
        <x:v>Completion check</x:v>
      </x:c>
      <x:c r="U1" s="4" t="str">
        <x:v>RACI check</x:v>
      </x:c>
    </x:row>
    <x:row r="2">
      <x:c r="A2" t="str">
        <x:v>T-01</x:v>
      </x:c>
      <x:c r="B2" t="str">
        <x:v>Governance foundation</x:v>
      </x:c>
      <x:c r="C2" t="str">
        <x:v>Document legal-use restrictions and urgent safeguards</x:v>
      </x:c>
      <x:c r="D2" t="n">
        <x:v>1</x:v>
      </x:c>
      <x:c r="E2" t="str">
        <x:v>P0</x:v>
      </x:c>
      <x:c r="F2" t="str">
        <x:v>Legal/Privacy</x:v>
      </x:c>
      <x:c r="G2" t="str">
        <x:v>Legal/Privacy</x:v>
      </x:c>
      <x:c r="H2" t="str">
        <x:v>Legal/Privacy; Business Owner</x:v>
      </x:c>
      <x:c r="I2" t="str">
        <x:v>Executive Sponsor; AI Governance Committee</x:v>
      </x:c>
      <x:c r="J2" t="str"/>
      <x:c r="K2" t="n">
        <x:v>30</x:v>
      </x:c>
      <x:c r="L2" t="str">
        <x:v>Proposed document legal-use restrictions and urgent safeguards artifact / evidence</x:v>
      </x:c>
      <x:c r="M2" t="str">
        <x:v>GOVERN 1.1</x:v>
      </x:c>
      <x:c r="N2" t="str">
        <x:v>Governance policy and legal requirements</x:v>
      </x:c>
      <x:c r="O2" t="str">
        <x:v>Not Started</x:v>
      </x:c>
      <x:c r="P2" t="str"/>
      <x:c r="Q2" t="str"/>
      <x:c r="R2" t="str"/>
      <x:c r="S2" t="str"/>
      <x:c r="T2" t="str">
        <x:f>IF(O2="Completed",IF(AND(P2&lt;&gt;"",Q2="Accepted",R2&lt;&gt;"",S2&lt;&gt;""),"PASS","MISSING APPROVAL/EVIDENCE"),"NOT COMPLETED")</x:f>
        <x:v>NOT COMPLETED</x:v>
      </x:c>
      <x:c r="U2" t="str">
        <x:f>IF(G2="","MISSING ACCOUNTABLE",IF(ISNUMBER(SEARCH(";",G2)),"MULTIPLE ACCOUNTABLE","PASS"))</x:f>
        <x:v>PASS</x:v>
      </x:c>
    </x:row>
    <x:row r="3">
      <x:c r="A3" t="str">
        <x:v>T-02</x:v>
      </x:c>
      <x:c r="B3" t="str">
        <x:v>Governance foundation</x:v>
      </x:c>
      <x:c r="C3" t="str">
        <x:v>Propose executive sponsor and AI governance committee charter adoption</x:v>
      </x:c>
      <x:c r="D3" t="n">
        <x:v>1</x:v>
      </x:c>
      <x:c r="E3" t="str">
        <x:v>P1</x:v>
      </x:c>
      <x:c r="F3" t="str">
        <x:v>GRC Program Lead</x:v>
      </x:c>
      <x:c r="G3" t="str">
        <x:v>GRC Program Lead</x:v>
      </x:c>
      <x:c r="H3" t="str">
        <x:v>Legal/Privacy; Business Owner</x:v>
      </x:c>
      <x:c r="I3" t="str">
        <x:v>Executive Sponsor; AI Governance Committee</x:v>
      </x:c>
      <x:c r="J3" t="str"/>
      <x:c r="K3" t="n">
        <x:v>30</x:v>
      </x:c>
      <x:c r="L3" t="str">
        <x:v>Proposed propose executive sponsor and ai governance committee charter adoption artifact / evidence</x:v>
      </x:c>
      <x:c r="M3" t="str">
        <x:v>GOVERN 1.1</x:v>
      </x:c>
      <x:c r="N3" t="str">
        <x:v>Governance policy and legal requirements</x:v>
      </x:c>
      <x:c r="O3" t="str">
        <x:v>Not Started</x:v>
      </x:c>
      <x:c r="P3" t="str"/>
      <x:c r="Q3" t="str"/>
      <x:c r="R3" t="str"/>
      <x:c r="S3" t="str"/>
      <x:c r="T3" t="str">
        <x:f>IF(O3="Completed",IF(AND(P3&lt;&gt;"",Q3="Accepted",R3&lt;&gt;"",S3&lt;&gt;""),"PASS","MISSING APPROVAL/EVIDENCE"),"NOT COMPLETED")</x:f>
        <x:v>NOT COMPLETED</x:v>
      </x:c>
      <x:c r="U3" t="str">
        <x:f>IF(G3="","MISSING ACCOUNTABLE",IF(ISNUMBER(SEARCH(";",G3)),"MULTIPLE ACCOUNTABLE","PASS"))</x:f>
        <x:v>PASS</x:v>
      </x:c>
    </x:row>
    <x:row r="4">
      <x:c r="A4" t="str">
        <x:v>T-03</x:v>
      </x:c>
      <x:c r="B4" t="str">
        <x:v>Governance foundation</x:v>
      </x:c>
      <x:c r="C4" t="str">
        <x:v>Assign governance roles and RACI decision rights</x:v>
      </x:c>
      <x:c r="D4" t="n">
        <x:v>1</x:v>
      </x:c>
      <x:c r="E4" t="str">
        <x:v>P1</x:v>
      </x:c>
      <x:c r="F4" t="str">
        <x:v>GRC Program Lead</x:v>
      </x:c>
      <x:c r="G4" t="str">
        <x:v>GRC Program Lead</x:v>
      </x:c>
      <x:c r="H4" t="str">
        <x:v>Legal/Privacy; Business Owner</x:v>
      </x:c>
      <x:c r="I4" t="str">
        <x:v>Executive Sponsor; AI Governance Committee</x:v>
      </x:c>
      <x:c r="J4" t="str">
        <x:v>T-01</x:v>
      </x:c>
      <x:c r="K4" t="n">
        <x:v>30</x:v>
      </x:c>
      <x:c r="L4" t="str">
        <x:v>Proposed assign governance roles and raci decision rights artifact / evidence</x:v>
      </x:c>
      <x:c r="M4" t="str">
        <x:v>GOVERN 1.1</x:v>
      </x:c>
      <x:c r="N4" t="str">
        <x:v>Governance policy and legal requirements</x:v>
      </x:c>
      <x:c r="O4" t="str">
        <x:v>Not Started</x:v>
      </x:c>
      <x:c r="P4" t="str"/>
      <x:c r="Q4" t="str"/>
      <x:c r="R4" t="str"/>
      <x:c r="S4" t="str"/>
      <x:c r="T4" t="str">
        <x:f>IF(O4="Completed",IF(AND(P4&lt;&gt;"",Q4="Accepted",R4&lt;&gt;"",S4&lt;&gt;""),"PASS","MISSING APPROVAL/EVIDENCE"),"NOT COMPLETED")</x:f>
        <x:v>NOT COMPLETED</x:v>
      </x:c>
      <x:c r="U4" t="str">
        <x:f>IF(G4="","MISSING ACCOUNTABLE",IF(ISNUMBER(SEARCH(";",G4)),"MULTIPLE ACCOUNTABLE","PASS"))</x:f>
        <x:v>PASS</x:v>
      </x:c>
    </x:row>
    <x:row r="5">
      <x:c r="A5" t="str">
        <x:v>T-04</x:v>
      </x:c>
      <x:c r="B5" t="str">
        <x:v>Governance foundation</x:v>
      </x:c>
      <x:c r="C5" t="str">
        <x:v>Establish policy exception and approval process</x:v>
      </x:c>
      <x:c r="D5" t="n">
        <x:v>1</x:v>
      </x:c>
      <x:c r="E5" t="str">
        <x:v>P1</x:v>
      </x:c>
      <x:c r="F5" t="str">
        <x:v>GRC Program Lead</x:v>
      </x:c>
      <x:c r="G5" t="str">
        <x:v>AI Governance Committee</x:v>
      </x:c>
      <x:c r="H5" t="str">
        <x:v>Legal/Privacy; Business Owner</x:v>
      </x:c>
      <x:c r="I5" t="str">
        <x:v>Executive Sponsor; AI Governance Committee</x:v>
      </x:c>
      <x:c r="J5" t="str">
        <x:v>T-01</x:v>
      </x:c>
      <x:c r="K5" t="n">
        <x:v>30</x:v>
      </x:c>
      <x:c r="L5" t="str">
        <x:v>Proposed establish policy exception and approval process artifact / evidence</x:v>
      </x:c>
      <x:c r="M5" t="str">
        <x:v>GOVERN 1.1</x:v>
      </x:c>
      <x:c r="N5" t="str">
        <x:v>Governance policy and legal requirements</x:v>
      </x:c>
      <x:c r="O5" t="str">
        <x:v>Not Started</x:v>
      </x:c>
      <x:c r="P5" t="str"/>
      <x:c r="Q5" t="str"/>
      <x:c r="R5" t="str"/>
      <x:c r="S5" t="str"/>
      <x:c r="T5" t="str">
        <x:f>IF(O5="Completed",IF(AND(P5&lt;&gt;"",Q5="Accepted",R5&lt;&gt;"",S5&lt;&gt;""),"PASS","MISSING APPROVAL/EVIDENCE"),"NOT COMPLETED")</x:f>
        <x:v>NOT COMPLETED</x:v>
      </x:c>
      <x:c r="U5" t="str">
        <x:f>IF(G5="","MISSING ACCOUNTABLE",IF(ISNUMBER(SEARCH(";",G5)),"MULTIPLE ACCOUNTABLE","PASS"))</x:f>
        <x:v>PASS</x:v>
      </x:c>
    </x:row>
    <x:row r="6">
      <x:c r="A6" t="str">
        <x:v>T-05</x:v>
      </x:c>
      <x:c r="B6" t="str">
        <x:v>AI inventory and intake</x:v>
      </x:c>
      <x:c r="C6" t="str">
        <x:v>Define inventory scope and required fields</x:v>
      </x:c>
      <x:c r="D6" t="n">
        <x:v>1</x:v>
      </x:c>
      <x:c r="E6" t="str">
        <x:v>P1</x:v>
      </x:c>
      <x:c r="F6" t="str">
        <x:v>Business Owner</x:v>
      </x:c>
      <x:c r="G6" t="str">
        <x:v>Business Owner</x:v>
      </x:c>
      <x:c r="H6" t="str">
        <x:v>Legal/Privacy; Business Owner</x:v>
      </x:c>
      <x:c r="I6" t="str">
        <x:v>Executive Sponsor; AI Governance Committee</x:v>
      </x:c>
      <x:c r="J6" t="str">
        <x:v>T-02</x:v>
      </x:c>
      <x:c r="K6" t="n">
        <x:v>30</x:v>
      </x:c>
      <x:c r="L6" t="str">
        <x:v>Proposed define inventory scope and required fields artifact / evidence</x:v>
      </x:c>
      <x:c r="M6" t="str">
        <x:v>MAP 1.1</x:v>
      </x:c>
      <x:c r="N6" t="str">
        <x:v>Intended use, context and applicable restrictions</x:v>
      </x:c>
      <x:c r="O6" t="str">
        <x:v>Not Started</x:v>
      </x:c>
      <x:c r="P6" t="str"/>
      <x:c r="Q6" t="str"/>
      <x:c r="R6" t="str"/>
      <x:c r="S6" t="str"/>
      <x:c r="T6" t="str">
        <x:f>IF(O6="Completed",IF(AND(P6&lt;&gt;"",Q6="Accepted",R6&lt;&gt;"",S6&lt;&gt;""),"PASS","MISSING APPROVAL/EVIDENCE"),"NOT COMPLETED")</x:f>
        <x:v>NOT COMPLETED</x:v>
      </x:c>
      <x:c r="U6" t="str">
        <x:f>IF(G6="","MISSING ACCOUNTABLE",IF(ISNUMBER(SEARCH(";",G6)),"MULTIPLE ACCOUNTABLE","PASS"))</x:f>
        <x:v>PASS</x:v>
      </x:c>
    </x:row>
    <x:row r="7">
      <x:c r="A7" t="str">
        <x:v>T-06</x:v>
      </x:c>
      <x:c r="B7" t="str">
        <x:v>AI inventory and intake</x:v>
      </x:c>
      <x:c r="C7" t="str">
        <x:v>Design intake request and legal-use screening</x:v>
      </x:c>
      <x:c r="D7" t="n">
        <x:v>1</x:v>
      </x:c>
      <x:c r="E7" t="str">
        <x:v>P1</x:v>
      </x:c>
      <x:c r="F7" t="str">
        <x:v>Business Owner</x:v>
      </x:c>
      <x:c r="G7" t="str">
        <x:v>Business Owner</x:v>
      </x:c>
      <x:c r="H7" t="str">
        <x:v>Legal/Privacy; Business Owner</x:v>
      </x:c>
      <x:c r="I7" t="str">
        <x:v>Executive Sponsor; AI Governance Committee</x:v>
      </x:c>
      <x:c r="J7" t="str">
        <x:v>T-02</x:v>
      </x:c>
      <x:c r="K7" t="n">
        <x:v>30</x:v>
      </x:c>
      <x:c r="L7" t="str">
        <x:v>Proposed design intake request and legal-use screening artifact / evidence</x:v>
      </x:c>
      <x:c r="M7" t="str">
        <x:v>MAP 1.1</x:v>
      </x:c>
      <x:c r="N7" t="str">
        <x:v>Intended use, context and applicable restrictions</x:v>
      </x:c>
      <x:c r="O7" t="str">
        <x:v>Not Started</x:v>
      </x:c>
      <x:c r="P7" t="str"/>
      <x:c r="Q7" t="str"/>
      <x:c r="R7" t="str"/>
      <x:c r="S7" t="str"/>
      <x:c r="T7" t="str">
        <x:f>IF(O7="Completed",IF(AND(P7&lt;&gt;"",Q7="Accepted",R7&lt;&gt;"",S7&lt;&gt;""),"PASS","MISSING APPROVAL/EVIDENCE"),"NOT COMPLETED")</x:f>
        <x:v>NOT COMPLETED</x:v>
      </x:c>
      <x:c r="U7" t="str">
        <x:f>IF(G7="","MISSING ACCOUNTABLE",IF(ISNUMBER(SEARCH(";",G7)),"MULTIPLE ACCOUNTABLE","PASS"))</x:f>
        <x:v>PASS</x:v>
      </x:c>
    </x:row>
    <x:row r="8">
      <x:c r="A8" t="str">
        <x:v>T-07</x:v>
      </x:c>
      <x:c r="B8" t="str">
        <x:v>AI inventory and intake</x:v>
      </x:c>
      <x:c r="C8" t="str">
        <x:v>Assign illustrative system and business owners</x:v>
      </x:c>
      <x:c r="D8" t="n">
        <x:v>1</x:v>
      </x:c>
      <x:c r="E8" t="str">
        <x:v>P1</x:v>
      </x:c>
      <x:c r="F8" t="str">
        <x:v>Business Owner</x:v>
      </x:c>
      <x:c r="G8" t="str">
        <x:v>Business Owner</x:v>
      </x:c>
      <x:c r="H8" t="str">
        <x:v>Legal/Privacy; Business Owner</x:v>
      </x:c>
      <x:c r="I8" t="str">
        <x:v>Executive Sponsor; AI Governance Committee</x:v>
      </x:c>
      <x:c r="J8" t="str">
        <x:v>T-02</x:v>
      </x:c>
      <x:c r="K8" t="n">
        <x:v>30</x:v>
      </x:c>
      <x:c r="L8" t="str">
        <x:v>Proposed assign illustrative system and business owners artifact / evidence</x:v>
      </x:c>
      <x:c r="M8" t="str">
        <x:v>MAP 1.1</x:v>
      </x:c>
      <x:c r="N8" t="str">
        <x:v>Intended use, context and applicable restrictions</x:v>
      </x:c>
      <x:c r="O8" t="str">
        <x:v>Not Started</x:v>
      </x:c>
      <x:c r="P8" t="str"/>
      <x:c r="Q8" t="str"/>
      <x:c r="R8" t="str"/>
      <x:c r="S8" t="str"/>
      <x:c r="T8" t="str">
        <x:f>IF(O8="Completed",IF(AND(P8&lt;&gt;"",Q8="Accepted",R8&lt;&gt;"",S8&lt;&gt;""),"PASS","MISSING APPROVAL/EVIDENCE"),"NOT COMPLETED")</x:f>
        <x:v>NOT COMPLETED</x:v>
      </x:c>
      <x:c r="U8" t="str">
        <x:f>IF(G8="","MISSING ACCOUNTABLE",IF(ISNUMBER(SEARCH(";",G8)),"MULTIPLE ACCOUNTABLE","PASS"))</x:f>
        <x:v>PASS</x:v>
      </x:c>
    </x:row>
    <x:row r="9">
      <x:c r="A9" t="str">
        <x:v>T-08</x:v>
      </x:c>
      <x:c r="B9" t="str">
        <x:v>AI inventory and intake</x:v>
      </x:c>
      <x:c r="C9" t="str">
        <x:v>Establish inventory change review cadence</x:v>
      </x:c>
      <x:c r="D9" t="n">
        <x:v>1</x:v>
      </x:c>
      <x:c r="E9" t="str">
        <x:v>P1</x:v>
      </x:c>
      <x:c r="F9" t="str">
        <x:v>Business Owner</x:v>
      </x:c>
      <x:c r="G9" t="str">
        <x:v>Business Owner</x:v>
      </x:c>
      <x:c r="H9" t="str">
        <x:v>Legal/Privacy; Business Owner</x:v>
      </x:c>
      <x:c r="I9" t="str">
        <x:v>Executive Sponsor; AI Governance Committee</x:v>
      </x:c>
      <x:c r="J9" t="str">
        <x:v>T-02</x:v>
      </x:c>
      <x:c r="K9" t="n">
        <x:v>30</x:v>
      </x:c>
      <x:c r="L9" t="str">
        <x:v>Proposed establish inventory change review cadence artifact / evidence</x:v>
      </x:c>
      <x:c r="M9" t="str">
        <x:v>MAP 1.1</x:v>
      </x:c>
      <x:c r="N9" t="str">
        <x:v>Intended use, context and applicable restrictions</x:v>
      </x:c>
      <x:c r="O9" t="str">
        <x:v>Not Started</x:v>
      </x:c>
      <x:c r="P9" t="str"/>
      <x:c r="Q9" t="str"/>
      <x:c r="R9" t="str"/>
      <x:c r="S9" t="str"/>
      <x:c r="T9" t="str">
        <x:f>IF(O9="Completed",IF(AND(P9&lt;&gt;"",Q9="Accepted",R9&lt;&gt;"",S9&lt;&gt;""),"PASS","MISSING APPROVAL/EVIDENCE"),"NOT COMPLETED")</x:f>
        <x:v>NOT COMPLETED</x:v>
      </x:c>
      <x:c r="U9" t="str">
        <x:f>IF(G9="","MISSING ACCOUNTABLE",IF(ISNUMBER(SEARCH(";",G9)),"MULTIPLE ACCOUNTABLE","PASS"))</x:f>
        <x:v>PASS</x:v>
      </x:c>
    </x:row>
    <x:row r="10">
      <x:c r="A10" t="str">
        <x:v>T-09</x:v>
      </x:c>
      <x:c r="B10" t="str">
        <x:v>Risk assessment</x:v>
      </x:c>
      <x:c r="C10" t="str">
        <x:v>Implement proposed risk scoring guidance</x:v>
      </x:c>
      <x:c r="D10" t="n">
        <x:v>2</x:v>
      </x:c>
      <x:c r="E10" t="str">
        <x:v>P1</x:v>
      </x:c>
      <x:c r="F10" t="str">
        <x:v>GRC Program Lead</x:v>
      </x:c>
      <x:c r="G10" t="str">
        <x:v>GRC Program Lead</x:v>
      </x:c>
      <x:c r="H10" t="str">
        <x:v>Legal/Privacy; Business Owner</x:v>
      </x:c>
      <x:c r="I10" t="str">
        <x:v>Executive Sponsor; AI Governance Committee</x:v>
      </x:c>
      <x:c r="J10" t="str">
        <x:v>T-05</x:v>
      </x:c>
      <x:c r="K10" t="n">
        <x:v>60</x:v>
      </x:c>
      <x:c r="L10" t="str">
        <x:v>Proposed implement proposed risk scoring guidance artifact / evidence</x:v>
      </x:c>
      <x:c r="M10" t="str">
        <x:v>MEASURE 1.1</x:v>
      </x:c>
      <x:c r="N10" t="str">
        <x:v>Methods for assessing risks and effectiveness</x:v>
      </x:c>
      <x:c r="O10" t="str">
        <x:v>Not Started</x:v>
      </x:c>
      <x:c r="P10" t="str"/>
      <x:c r="Q10" t="str"/>
      <x:c r="R10" t="str"/>
      <x:c r="S10" t="str"/>
      <x:c r="T10" t="str">
        <x:f>IF(O10="Completed",IF(AND(P10&lt;&gt;"",Q10="Accepted",R10&lt;&gt;"",S10&lt;&gt;""),"PASS","MISSING APPROVAL/EVIDENCE"),"NOT COMPLETED")</x:f>
        <x:v>NOT COMPLETED</x:v>
      </x:c>
      <x:c r="U10" t="str">
        <x:f>IF(G10="","MISSING ACCOUNTABLE",IF(ISNUMBER(SEARCH(";",G10)),"MULTIPLE ACCOUNTABLE","PASS"))</x:f>
        <x:v>PASS</x:v>
      </x:c>
    </x:row>
    <x:row r="11">
      <x:c r="A11" t="str">
        <x:v>T-10</x:v>
      </x:c>
      <x:c r="B11" t="str">
        <x:v>Risk assessment</x:v>
      </x:c>
      <x:c r="C11" t="str">
        <x:v>Develop human impact and privacy assessment workflows</x:v>
      </x:c>
      <x:c r="D11" t="n">
        <x:v>2</x:v>
      </x:c>
      <x:c r="E11" t="str">
        <x:v>P2</x:v>
      </x:c>
      <x:c r="F11" t="str">
        <x:v>GRC Program Lead</x:v>
      </x:c>
      <x:c r="G11" t="str">
        <x:v>GRC Program Lead</x:v>
      </x:c>
      <x:c r="H11" t="str">
        <x:v>Legal/Privacy; Business Owner</x:v>
      </x:c>
      <x:c r="I11" t="str">
        <x:v>Executive Sponsor; AI Governance Committee</x:v>
      </x:c>
      <x:c r="J11" t="str">
        <x:v>T-05</x:v>
      </x:c>
      <x:c r="K11" t="n">
        <x:v>60</x:v>
      </x:c>
      <x:c r="L11" t="str">
        <x:v>Proposed develop human impact and privacy assessment workflows artifact / evidence</x:v>
      </x:c>
      <x:c r="M11" t="str">
        <x:v>MEASURE 1.1</x:v>
      </x:c>
      <x:c r="N11" t="str">
        <x:v>Methods for assessing risks and effectiveness</x:v>
      </x:c>
      <x:c r="O11" t="str">
        <x:v>Not Started</x:v>
      </x:c>
      <x:c r="P11" t="str"/>
      <x:c r="Q11" t="str"/>
      <x:c r="R11" t="str"/>
      <x:c r="S11" t="str"/>
      <x:c r="T11" t="str">
        <x:f>IF(O11="Completed",IF(AND(P11&lt;&gt;"",Q11="Accepted",R11&lt;&gt;"",S11&lt;&gt;""),"PASS","MISSING APPROVAL/EVIDENCE"),"NOT COMPLETED")</x:f>
        <x:v>NOT COMPLETED</x:v>
      </x:c>
      <x:c r="U11" t="str">
        <x:f>IF(G11="","MISSING ACCOUNTABLE",IF(ISNUMBER(SEARCH(";",G11)),"MULTIPLE ACCOUNTABLE","PASS"))</x:f>
        <x:v>PASS</x:v>
      </x:c>
    </x:row>
    <x:row r="12">
      <x:c r="A12" t="str">
        <x:v>T-11</x:v>
      </x:c>
      <x:c r="B12" t="str">
        <x:v>Risk assessment</x:v>
      </x:c>
      <x:c r="C12" t="str">
        <x:v>Define high-risk escalation and risk acceptance limits</x:v>
      </x:c>
      <x:c r="D12" t="n">
        <x:v>2</x:v>
      </x:c>
      <x:c r="E12" t="str">
        <x:v>P2</x:v>
      </x:c>
      <x:c r="F12" t="str">
        <x:v>GRC Program Lead</x:v>
      </x:c>
      <x:c r="G12" t="str">
        <x:v>GRC Program Lead</x:v>
      </x:c>
      <x:c r="H12" t="str">
        <x:v>Legal/Privacy; Business Owner</x:v>
      </x:c>
      <x:c r="I12" t="str">
        <x:v>Executive Sponsor; AI Governance Committee</x:v>
      </x:c>
      <x:c r="J12" t="str">
        <x:v>T-05</x:v>
      </x:c>
      <x:c r="K12" t="n">
        <x:v>60</x:v>
      </x:c>
      <x:c r="L12" t="str">
        <x:v>Proposed define high-risk escalation and risk acceptance limits artifact / evidence</x:v>
      </x:c>
      <x:c r="M12" t="str">
        <x:v>MEASURE 1.1</x:v>
      </x:c>
      <x:c r="N12" t="str">
        <x:v>Methods for assessing risks and effectiveness</x:v>
      </x:c>
      <x:c r="O12" t="str">
        <x:v>Not Started</x:v>
      </x:c>
      <x:c r="P12" t="str"/>
      <x:c r="Q12" t="str"/>
      <x:c r="R12" t="str"/>
      <x:c r="S12" t="str"/>
      <x:c r="T12" t="str">
        <x:f>IF(O12="Completed",IF(AND(P12&lt;&gt;"",Q12="Accepted",R12&lt;&gt;"",S12&lt;&gt;""),"PASS","MISSING APPROVAL/EVIDENCE"),"NOT COMPLETED")</x:f>
        <x:v>NOT COMPLETED</x:v>
      </x:c>
      <x:c r="U12" t="str">
        <x:f>IF(G12="","MISSING ACCOUNTABLE",IF(ISNUMBER(SEARCH(";",G12)),"MULTIPLE ACCOUNTABLE","PASS"))</x:f>
        <x:v>PASS</x:v>
      </x:c>
    </x:row>
    <x:row r="13">
      <x:c r="A13" t="str">
        <x:v>T-12</x:v>
      </x:c>
      <x:c r="B13" t="str">
        <x:v>Risk assessment</x:v>
      </x:c>
      <x:c r="C13" t="str">
        <x:v>Prepare risk treatment and re-assessment procedures</x:v>
      </x:c>
      <x:c r="D13" t="n">
        <x:v>2</x:v>
      </x:c>
      <x:c r="E13" t="str">
        <x:v>P2</x:v>
      </x:c>
      <x:c r="F13" t="str">
        <x:v>GRC Program Lead</x:v>
      </x:c>
      <x:c r="G13" t="str">
        <x:v>GRC Program Lead</x:v>
      </x:c>
      <x:c r="H13" t="str">
        <x:v>Legal/Privacy; Business Owner</x:v>
      </x:c>
      <x:c r="I13" t="str">
        <x:v>Executive Sponsor; AI Governance Committee</x:v>
      </x:c>
      <x:c r="J13" t="str">
        <x:v>T-05</x:v>
      </x:c>
      <x:c r="K13" t="n">
        <x:v>60</x:v>
      </x:c>
      <x:c r="L13" t="str">
        <x:v>Proposed prepare risk treatment and re-assessment procedures artifact / evidence</x:v>
      </x:c>
      <x:c r="M13" t="str">
        <x:v>MEASURE 1.1</x:v>
      </x:c>
      <x:c r="N13" t="str">
        <x:v>Methods for assessing risks and effectiveness</x:v>
      </x:c>
      <x:c r="O13" t="str">
        <x:v>Not Started</x:v>
      </x:c>
      <x:c r="P13" t="str"/>
      <x:c r="Q13" t="str"/>
      <x:c r="R13" t="str"/>
      <x:c r="S13" t="str"/>
      <x:c r="T13" t="str">
        <x:f>IF(O13="Completed",IF(AND(P13&lt;&gt;"",Q13="Accepted",R13&lt;&gt;"",S13&lt;&gt;""),"PASS","MISSING APPROVAL/EVIDENCE"),"NOT COMPLETED")</x:f>
        <x:v>NOT COMPLETED</x:v>
      </x:c>
      <x:c r="U13" t="str">
        <x:f>IF(G13="","MISSING ACCOUNTABLE",IF(ISNUMBER(SEARCH(";",G13)),"MULTIPLE ACCOUNTABLE","PASS"))</x:f>
        <x:v>PASS</x:v>
      </x:c>
    </x:row>
    <x:row r="14">
      <x:c r="A14" t="str">
        <x:v>T-13</x:v>
      </x:c>
      <x:c r="B14" t="str">
        <x:v>Vendor oversight</x:v>
      </x:c>
      <x:c r="C14" t="str">
        <x:v>Establish vendor AI due-diligence checklist</x:v>
      </x:c>
      <x:c r="D14" t="n">
        <x:v>2</x:v>
      </x:c>
      <x:c r="E14" t="str">
        <x:v>P1</x:v>
      </x:c>
      <x:c r="F14" t="str">
        <x:v>Business Owner</x:v>
      </x:c>
      <x:c r="G14" t="str">
        <x:v>Legal/Privacy</x:v>
      </x:c>
      <x:c r="H14" t="str">
        <x:v>GRC Program Lead; Technical Owner</x:v>
      </x:c>
      <x:c r="I14" t="str">
        <x:v>Executive Sponsor; AI Governance Committee</x:v>
      </x:c>
      <x:c r="J14" t="str">
        <x:v>T-09</x:v>
      </x:c>
      <x:c r="K14" t="n">
        <x:v>60</x:v>
      </x:c>
      <x:c r="L14" t="str">
        <x:v>Proposed establish vendor ai due-diligence checklist artifact / evidence</x:v>
      </x:c>
      <x:c r="M14" t="str">
        <x:v>MANAGE 1.2</x:v>
      </x:c>
      <x:c r="N14" t="str">
        <x:v>Prioritization and treatment of identified risk</x:v>
      </x:c>
      <x:c r="O14" t="str">
        <x:v>Not Started</x:v>
      </x:c>
      <x:c r="P14" t="str"/>
      <x:c r="Q14" t="str"/>
      <x:c r="R14" t="str"/>
      <x:c r="S14" t="str"/>
      <x:c r="T14" t="str">
        <x:f>IF(O14="Completed",IF(AND(P14&lt;&gt;"",Q14="Accepted",R14&lt;&gt;"",S14&lt;&gt;""),"PASS","MISSING APPROVAL/EVIDENCE"),"NOT COMPLETED")</x:f>
        <x:v>NOT COMPLETED</x:v>
      </x:c>
      <x:c r="U14" t="str">
        <x:f>IF(G14="","MISSING ACCOUNTABLE",IF(ISNUMBER(SEARCH(";",G14)),"MULTIPLE ACCOUNTABLE","PASS"))</x:f>
        <x:v>PASS</x:v>
      </x:c>
    </x:row>
    <x:row r="15">
      <x:c r="A15" t="str">
        <x:v>T-14</x:v>
      </x:c>
      <x:c r="B15" t="str">
        <x:v>Vendor oversight</x:v>
      </x:c>
      <x:c r="C15" t="str">
        <x:v>Draft contract and privacy/security review requirements</x:v>
      </x:c>
      <x:c r="D15" t="n">
        <x:v>2</x:v>
      </x:c>
      <x:c r="E15" t="str">
        <x:v>P2</x:v>
      </x:c>
      <x:c r="F15" t="str">
        <x:v>Business Owner</x:v>
      </x:c>
      <x:c r="G15" t="str">
        <x:v>Legal/Privacy</x:v>
      </x:c>
      <x:c r="H15" t="str">
        <x:v>GRC Program Lead; Technical Owner</x:v>
      </x:c>
      <x:c r="I15" t="str">
        <x:v>Executive Sponsor; AI Governance Committee</x:v>
      </x:c>
      <x:c r="J15" t="str">
        <x:v>T-09</x:v>
      </x:c>
      <x:c r="K15" t="n">
        <x:v>60</x:v>
      </x:c>
      <x:c r="L15" t="str">
        <x:v>Proposed draft contract and privacy/security review requirements artifact / evidence</x:v>
      </x:c>
      <x:c r="M15" t="str">
        <x:v>MANAGE 1.2</x:v>
      </x:c>
      <x:c r="N15" t="str">
        <x:v>Prioritization and treatment of identified risk</x:v>
      </x:c>
      <x:c r="O15" t="str">
        <x:v>Not Started</x:v>
      </x:c>
      <x:c r="P15" t="str"/>
      <x:c r="Q15" t="str"/>
      <x:c r="R15" t="str"/>
      <x:c r="S15" t="str"/>
      <x:c r="T15" t="str">
        <x:f>IF(O15="Completed",IF(AND(P15&lt;&gt;"",Q15="Accepted",R15&lt;&gt;"",S15&lt;&gt;""),"PASS","MISSING APPROVAL/EVIDENCE"),"NOT COMPLETED")</x:f>
        <x:v>NOT COMPLETED</x:v>
      </x:c>
      <x:c r="U15" t="str">
        <x:f>IF(G15="","MISSING ACCOUNTABLE",IF(ISNUMBER(SEARCH(";",G15)),"MULTIPLE ACCOUNTABLE","PASS"))</x:f>
        <x:v>PASS</x:v>
      </x:c>
    </x:row>
    <x:row r="16">
      <x:c r="A16" t="str">
        <x:v>T-15</x:v>
      </x:c>
      <x:c r="B16" t="str">
        <x:v>Vendor oversight</x:v>
      </x:c>
      <x:c r="C16" t="str">
        <x:v>Define third-party incident communication process</x:v>
      </x:c>
      <x:c r="D16" t="n">
        <x:v>2</x:v>
      </x:c>
      <x:c r="E16" t="str">
        <x:v>P2</x:v>
      </x:c>
      <x:c r="F16" t="str">
        <x:v>Business Owner</x:v>
      </x:c>
      <x:c r="G16" t="str">
        <x:v>Legal/Privacy</x:v>
      </x:c>
      <x:c r="H16" t="str">
        <x:v>GRC Program Lead; Technical Owner</x:v>
      </x:c>
      <x:c r="I16" t="str">
        <x:v>Executive Sponsor; AI Governance Committee</x:v>
      </x:c>
      <x:c r="J16" t="str">
        <x:v>T-09</x:v>
      </x:c>
      <x:c r="K16" t="n">
        <x:v>60</x:v>
      </x:c>
      <x:c r="L16" t="str">
        <x:v>Proposed define third-party incident communication process artifact / evidence</x:v>
      </x:c>
      <x:c r="M16" t="str">
        <x:v>MANAGE 1.2</x:v>
      </x:c>
      <x:c r="N16" t="str">
        <x:v>Prioritization and treatment of identified risk</x:v>
      </x:c>
      <x:c r="O16" t="str">
        <x:v>Not Started</x:v>
      </x:c>
      <x:c r="P16" t="str"/>
      <x:c r="Q16" t="str"/>
      <x:c r="R16" t="str"/>
      <x:c r="S16" t="str"/>
      <x:c r="T16" t="str">
        <x:f>IF(O16="Completed",IF(AND(P16&lt;&gt;"",Q16="Accepted",R16&lt;&gt;"",S16&lt;&gt;""),"PASS","MISSING APPROVAL/EVIDENCE"),"NOT COMPLETED")</x:f>
        <x:v>NOT COMPLETED</x:v>
      </x:c>
      <x:c r="U16" t="str">
        <x:f>IF(G16="","MISSING ACCOUNTABLE",IF(ISNUMBER(SEARCH(";",G16)),"MULTIPLE ACCOUNTABLE","PASS"))</x:f>
        <x:v>PASS</x:v>
      </x:c>
    </x:row>
    <x:row r="17">
      <x:c r="A17" t="str">
        <x:v>T-16</x:v>
      </x:c>
      <x:c r="B17" t="str">
        <x:v>Vendor oversight</x:v>
      </x:c>
      <x:c r="C17" t="str">
        <x:v>Set vendor reassessment and exit requirements</x:v>
      </x:c>
      <x:c r="D17" t="n">
        <x:v>2</x:v>
      </x:c>
      <x:c r="E17" t="str">
        <x:v>P2</x:v>
      </x:c>
      <x:c r="F17" t="str">
        <x:v>Business Owner</x:v>
      </x:c>
      <x:c r="G17" t="str">
        <x:v>Legal/Privacy</x:v>
      </x:c>
      <x:c r="H17" t="str">
        <x:v>GRC Program Lead; Technical Owner</x:v>
      </x:c>
      <x:c r="I17" t="str">
        <x:v>Executive Sponsor; AI Governance Committee</x:v>
      </x:c>
      <x:c r="J17" t="str">
        <x:v>T-09</x:v>
      </x:c>
      <x:c r="K17" t="n">
        <x:v>60</x:v>
      </x:c>
      <x:c r="L17" t="str">
        <x:v>Proposed set vendor reassessment and exit requirements artifact / evidence</x:v>
      </x:c>
      <x:c r="M17" t="str">
        <x:v>MANAGE 1.2</x:v>
      </x:c>
      <x:c r="N17" t="str">
        <x:v>Prioritization and treatment of identified risk</x:v>
      </x:c>
      <x:c r="O17" t="str">
        <x:v>Not Started</x:v>
      </x:c>
      <x:c r="P17" t="str"/>
      <x:c r="Q17" t="str"/>
      <x:c r="R17" t="str"/>
      <x:c r="S17" t="str"/>
      <x:c r="T17" t="str">
        <x:f>IF(O17="Completed",IF(AND(P17&lt;&gt;"",Q17="Accepted",R17&lt;&gt;"",S17&lt;&gt;""),"PASS","MISSING APPROVAL/EVIDENCE"),"NOT COMPLETED")</x:f>
        <x:v>NOT COMPLETED</x:v>
      </x:c>
      <x:c r="U17" t="str">
        <x:f>IF(G17="","MISSING ACCOUNTABLE",IF(ISNUMBER(SEARCH(";",G17)),"MULTIPLE ACCOUNTABLE","PASS"))</x:f>
        <x:v>PASS</x:v>
      </x:c>
    </x:row>
    <x:row r="18">
      <x:c r="A18" t="str">
        <x:v>T-17</x:v>
      </x:c>
      <x:c r="B18" t="str">
        <x:v>Controls and human oversight</x:v>
      </x:c>
      <x:c r="C18" t="str">
        <x:v>Assign control owners and applicability decisions</x:v>
      </x:c>
      <x:c r="D18" t="n">
        <x:v>2</x:v>
      </x:c>
      <x:c r="E18" t="str">
        <x:v>P1</x:v>
      </x:c>
      <x:c r="F18" t="str">
        <x:v>Technical Owner</x:v>
      </x:c>
      <x:c r="G18" t="str">
        <x:v>Technical Owner</x:v>
      </x:c>
      <x:c r="H18" t="str">
        <x:v>Legal/Privacy; Business Owner</x:v>
      </x:c>
      <x:c r="I18" t="str">
        <x:v>Executive Sponsor; AI Governance Committee</x:v>
      </x:c>
      <x:c r="J18" t="str">
        <x:v>T-09</x:v>
      </x:c>
      <x:c r="K18" t="n">
        <x:v>60</x:v>
      </x:c>
      <x:c r="L18" t="str">
        <x:v>Proposed assign control owners and applicability decisions artifact / evidence</x:v>
      </x:c>
      <x:c r="M18" t="str">
        <x:v>MANAGE 1.2</x:v>
      </x:c>
      <x:c r="N18" t="str">
        <x:v>Prioritization and treatment of identified risk</x:v>
      </x:c>
      <x:c r="O18" t="str">
        <x:v>Not Started</x:v>
      </x:c>
      <x:c r="P18" t="str"/>
      <x:c r="Q18" t="str"/>
      <x:c r="R18" t="str"/>
      <x:c r="S18" t="str"/>
      <x:c r="T18" t="str">
        <x:f>IF(O18="Completed",IF(AND(P18&lt;&gt;"",Q18="Accepted",R18&lt;&gt;"",S18&lt;&gt;""),"PASS","MISSING APPROVAL/EVIDENCE"),"NOT COMPLETED")</x:f>
        <x:v>NOT COMPLETED</x:v>
      </x:c>
      <x:c r="U18" t="str">
        <x:f>IF(G18="","MISSING ACCOUNTABLE",IF(ISNUMBER(SEARCH(";",G18)),"MULTIPLE ACCOUNTABLE","PASS"))</x:f>
        <x:v>PASS</x:v>
      </x:c>
    </x:row>
    <x:row r="19">
      <x:c r="A19" t="str">
        <x:v>T-18</x:v>
      </x:c>
      <x:c r="B19" t="str">
        <x:v>Controls and human oversight</x:v>
      </x:c>
      <x:c r="C19" t="str">
        <x:v>Specify human review and override safeguards</x:v>
      </x:c>
      <x:c r="D19" t="n">
        <x:v>2</x:v>
      </x:c>
      <x:c r="E19" t="str">
        <x:v>P2</x:v>
      </x:c>
      <x:c r="F19" t="str">
        <x:v>Technical Owner</x:v>
      </x:c>
      <x:c r="G19" t="str">
        <x:v>Technical Owner</x:v>
      </x:c>
      <x:c r="H19" t="str">
        <x:v>Legal/Privacy; Business Owner</x:v>
      </x:c>
      <x:c r="I19" t="str">
        <x:v>Executive Sponsor; AI Governance Committee</x:v>
      </x:c>
      <x:c r="J19" t="str">
        <x:v>T-09</x:v>
      </x:c>
      <x:c r="K19" t="n">
        <x:v>60</x:v>
      </x:c>
      <x:c r="L19" t="str">
        <x:v>Proposed specify human review and override safeguards artifact / evidence</x:v>
      </x:c>
      <x:c r="M19" t="str">
        <x:v>MANAGE 1.2</x:v>
      </x:c>
      <x:c r="N19" t="str">
        <x:v>Prioritization and treatment of identified risk</x:v>
      </x:c>
      <x:c r="O19" t="str">
        <x:v>Not Started</x:v>
      </x:c>
      <x:c r="P19" t="str"/>
      <x:c r="Q19" t="str"/>
      <x:c r="R19" t="str"/>
      <x:c r="S19" t="str"/>
      <x:c r="T19" t="str">
        <x:f>IF(O19="Completed",IF(AND(P19&lt;&gt;"",Q19="Accepted",R19&lt;&gt;"",S19&lt;&gt;""),"PASS","MISSING APPROVAL/EVIDENCE"),"NOT COMPLETED")</x:f>
        <x:v>NOT COMPLETED</x:v>
      </x:c>
      <x:c r="U19" t="str">
        <x:f>IF(G19="","MISSING ACCOUNTABLE",IF(ISNUMBER(SEARCH(";",G19)),"MULTIPLE ACCOUNTABLE","PASS"))</x:f>
        <x:v>PASS</x:v>
      </x:c>
    </x:row>
    <x:row r="20">
      <x:c r="A20" t="str">
        <x:v>T-19</x:v>
      </x:c>
      <x:c r="B20" t="str">
        <x:v>Controls and human oversight</x:v>
      </x:c>
      <x:c r="C20" t="str">
        <x:v>Define technical control test procedures</x:v>
      </x:c>
      <x:c r="D20" t="n">
        <x:v>2</x:v>
      </x:c>
      <x:c r="E20" t="str">
        <x:v>P2</x:v>
      </x:c>
      <x:c r="F20" t="str">
        <x:v>Technical Owner</x:v>
      </x:c>
      <x:c r="G20" t="str">
        <x:v>Technical Owner</x:v>
      </x:c>
      <x:c r="H20" t="str">
        <x:v>Legal/Privacy; Business Owner</x:v>
      </x:c>
      <x:c r="I20" t="str">
        <x:v>Executive Sponsor; AI Governance Committee</x:v>
      </x:c>
      <x:c r="J20" t="str">
        <x:v>T-09</x:v>
      </x:c>
      <x:c r="K20" t="n">
        <x:v>60</x:v>
      </x:c>
      <x:c r="L20" t="str">
        <x:v>Proposed define technical control test procedures artifact / evidence</x:v>
      </x:c>
      <x:c r="M20" t="str">
        <x:v>MANAGE 1.2</x:v>
      </x:c>
      <x:c r="N20" t="str">
        <x:v>Prioritization and treatment of identified risk</x:v>
      </x:c>
      <x:c r="O20" t="str">
        <x:v>Not Started</x:v>
      </x:c>
      <x:c r="P20" t="str"/>
      <x:c r="Q20" t="str"/>
      <x:c r="R20" t="str"/>
      <x:c r="S20" t="str"/>
      <x:c r="T20" t="str">
        <x:f>IF(O20="Completed",IF(AND(P20&lt;&gt;"",Q20="Accepted",R20&lt;&gt;"",S20&lt;&gt;""),"PASS","MISSING APPROVAL/EVIDENCE"),"NOT COMPLETED")</x:f>
        <x:v>NOT COMPLETED</x:v>
      </x:c>
      <x:c r="U20" t="str">
        <x:f>IF(G20="","MISSING ACCOUNTABLE",IF(ISNUMBER(SEARCH(";",G20)),"MULTIPLE ACCOUNTABLE","PASS"))</x:f>
        <x:v>PASS</x:v>
      </x:c>
    </x:row>
    <x:row r="21">
      <x:c r="A21" t="str">
        <x:v>T-20</x:v>
      </x:c>
      <x:c r="B21" t="str">
        <x:v>Controls and human oversight</x:v>
      </x:c>
      <x:c r="C21" t="str">
        <x:v>Set system-specific predeployment authorization gate</x:v>
      </x:c>
      <x:c r="D21" t="n">
        <x:v>2</x:v>
      </x:c>
      <x:c r="E21" t="str">
        <x:v>P2</x:v>
      </x:c>
      <x:c r="F21" t="str">
        <x:v>Technical Owner</x:v>
      </x:c>
      <x:c r="G21" t="str">
        <x:v>AI Governance Committee</x:v>
      </x:c>
      <x:c r="H21" t="str">
        <x:v>Legal/Privacy; Business Owner</x:v>
      </x:c>
      <x:c r="I21" t="str">
        <x:v>Executive Sponsor; AI Governance Committee</x:v>
      </x:c>
      <x:c r="J21" t="str">
        <x:v>T-09</x:v>
      </x:c>
      <x:c r="K21" t="n">
        <x:v>60</x:v>
      </x:c>
      <x:c r="L21" t="str">
        <x:v>Proposed set system-specific predeployment authorization gate artifact / evidence</x:v>
      </x:c>
      <x:c r="M21" t="str">
        <x:v>MANAGE 1.2</x:v>
      </x:c>
      <x:c r="N21" t="str">
        <x:v>Prioritization and treatment of identified risk</x:v>
      </x:c>
      <x:c r="O21" t="str">
        <x:v>Not Started</x:v>
      </x:c>
      <x:c r="P21" t="str"/>
      <x:c r="Q21" t="str"/>
      <x:c r="R21" t="str"/>
      <x:c r="S21" t="str"/>
      <x:c r="T21" t="str">
        <x:f>IF(O21="Completed",IF(AND(P21&lt;&gt;"",Q21="Accepted",R21&lt;&gt;"",S21&lt;&gt;""),"PASS","MISSING APPROVAL/EVIDENCE"),"NOT COMPLETED")</x:f>
        <x:v>NOT COMPLETED</x:v>
      </x:c>
      <x:c r="U21" t="str">
        <x:f>IF(G21="","MISSING ACCOUNTABLE",IF(ISNUMBER(SEARCH(";",G21)),"MULTIPLE ACCOUNTABLE","PASS"))</x:f>
        <x:v>PASS</x:v>
      </x:c>
    </x:row>
    <x:row r="22">
      <x:c r="A22" t="str">
        <x:v>T-21</x:v>
      </x:c>
      <x:c r="B22" t="str">
        <x:v>Monitoring and incident response</x:v>
      </x:c>
      <x:c r="C22" t="str">
        <x:v>Design monitoring categories and review schedule</x:v>
      </x:c>
      <x:c r="D22" t="n">
        <x:v>2</x:v>
      </x:c>
      <x:c r="E22" t="str">
        <x:v>P1</x:v>
      </x:c>
      <x:c r="F22" t="str">
        <x:v>Technical Owner</x:v>
      </x:c>
      <x:c r="G22" t="str">
        <x:v>Technical Owner</x:v>
      </x:c>
      <x:c r="H22" t="str">
        <x:v>Legal/Privacy; Business Owner</x:v>
      </x:c>
      <x:c r="I22" t="str">
        <x:v>Executive Sponsor; AI Governance Committee</x:v>
      </x:c>
      <x:c r="J22" t="str">
        <x:v>T-17</x:v>
      </x:c>
      <x:c r="K22" t="n">
        <x:v>60</x:v>
      </x:c>
      <x:c r="L22" t="str">
        <x:v>Proposed design monitoring categories and review schedule artifact / evidence</x:v>
      </x:c>
      <x:c r="M22" t="str">
        <x:v>MANAGE 1.2</x:v>
      </x:c>
      <x:c r="N22" t="str">
        <x:v>Prioritization and treatment of identified risk</x:v>
      </x:c>
      <x:c r="O22" t="str">
        <x:v>Not Started</x:v>
      </x:c>
      <x:c r="P22" t="str"/>
      <x:c r="Q22" t="str"/>
      <x:c r="R22" t="str"/>
      <x:c r="S22" t="str"/>
      <x:c r="T22" t="str">
        <x:f>IF(O22="Completed",IF(AND(P22&lt;&gt;"",Q22="Accepted",R22&lt;&gt;"",S22&lt;&gt;""),"PASS","MISSING APPROVAL/EVIDENCE"),"NOT COMPLETED")</x:f>
        <x:v>NOT COMPLETED</x:v>
      </x:c>
      <x:c r="U22" t="str">
        <x:f>IF(G22="","MISSING ACCOUNTABLE",IF(ISNUMBER(SEARCH(";",G22)),"MULTIPLE ACCOUNTABLE","PASS"))</x:f>
        <x:v>PASS</x:v>
      </x:c>
    </x:row>
    <x:row r="23">
      <x:c r="A23" t="str">
        <x:v>T-22</x:v>
      </x:c>
      <x:c r="B23" t="str">
        <x:v>Monitoring and incident response</x:v>
      </x:c>
      <x:c r="C23" t="str">
        <x:v>Document alert classification and response targets</x:v>
      </x:c>
      <x:c r="D23" t="n">
        <x:v>3</x:v>
      </x:c>
      <x:c r="E23" t="str">
        <x:v>P3</x:v>
      </x:c>
      <x:c r="F23" t="str">
        <x:v>Technical Owner</x:v>
      </x:c>
      <x:c r="G23" t="str">
        <x:v>Technical Owner</x:v>
      </x:c>
      <x:c r="H23" t="str">
        <x:v>Legal/Privacy; Business Owner</x:v>
      </x:c>
      <x:c r="I23" t="str">
        <x:v>Executive Sponsor; AI Governance Committee</x:v>
      </x:c>
      <x:c r="J23" t="str">
        <x:v>T-17</x:v>
      </x:c>
      <x:c r="K23" t="n">
        <x:v>90</x:v>
      </x:c>
      <x:c r="L23" t="str">
        <x:v>Proposed document alert classification and response targets artifact / evidence</x:v>
      </x:c>
      <x:c r="M23" t="str">
        <x:v>MANAGE 1.2</x:v>
      </x:c>
      <x:c r="N23" t="str">
        <x:v>Prioritization and treatment of identified risk</x:v>
      </x:c>
      <x:c r="O23" t="str">
        <x:v>Not Started</x:v>
      </x:c>
      <x:c r="P23" t="str"/>
      <x:c r="Q23" t="str"/>
      <x:c r="R23" t="str"/>
      <x:c r="S23" t="str"/>
      <x:c r="T23" t="str">
        <x:f>IF(O23="Completed",IF(AND(P23&lt;&gt;"",Q23="Accepted",R23&lt;&gt;"",S23&lt;&gt;""),"PASS","MISSING APPROVAL/EVIDENCE"),"NOT COMPLETED")</x:f>
        <x:v>NOT COMPLETED</x:v>
      </x:c>
      <x:c r="U23" t="str">
        <x:f>IF(G23="","MISSING ACCOUNTABLE",IF(ISNUMBER(SEARCH(";",G23)),"MULTIPLE ACCOUNTABLE","PASS"))</x:f>
        <x:v>PASS</x:v>
      </x:c>
    </x:row>
    <x:row r="24">
      <x:c r="A24" t="str">
        <x:v>T-23</x:v>
      </x:c>
      <x:c r="B24" t="str">
        <x:v>Monitoring and incident response</x:v>
      </x:c>
      <x:c r="C24" t="str">
        <x:v>Prepare incident records, evidence handling and escalation</x:v>
      </x:c>
      <x:c r="D24" t="n">
        <x:v>3</x:v>
      </x:c>
      <x:c r="E24" t="str">
        <x:v>P3</x:v>
      </x:c>
      <x:c r="F24" t="str">
        <x:v>Technical Owner</x:v>
      </x:c>
      <x:c r="G24" t="str">
        <x:v>Technical Owner</x:v>
      </x:c>
      <x:c r="H24" t="str">
        <x:v>Legal/Privacy; Business Owner</x:v>
      </x:c>
      <x:c r="I24" t="str">
        <x:v>Executive Sponsor; AI Governance Committee</x:v>
      </x:c>
      <x:c r="J24" t="str">
        <x:v>T-17</x:v>
      </x:c>
      <x:c r="K24" t="n">
        <x:v>90</x:v>
      </x:c>
      <x:c r="L24" t="str">
        <x:v>Proposed prepare incident records, evidence handling and escalation artifact / evidence</x:v>
      </x:c>
      <x:c r="M24" t="str">
        <x:v>MANAGE 1.2</x:v>
      </x:c>
      <x:c r="N24" t="str">
        <x:v>Prioritization and treatment of identified risk</x:v>
      </x:c>
      <x:c r="O24" t="str">
        <x:v>Not Started</x:v>
      </x:c>
      <x:c r="P24" t="str"/>
      <x:c r="Q24" t="str"/>
      <x:c r="R24" t="str"/>
      <x:c r="S24" t="str"/>
      <x:c r="T24" t="str">
        <x:f>IF(O24="Completed",IF(AND(P24&lt;&gt;"",Q24="Accepted",R24&lt;&gt;"",S24&lt;&gt;""),"PASS","MISSING APPROVAL/EVIDENCE"),"NOT COMPLETED")</x:f>
        <x:v>NOT COMPLETED</x:v>
      </x:c>
      <x:c r="U24" t="str">
        <x:f>IF(G24="","MISSING ACCOUNTABLE",IF(ISNUMBER(SEARCH(";",G24)),"MULTIPLE ACCOUNTABLE","PASS"))</x:f>
        <x:v>PASS</x:v>
      </x:c>
    </x:row>
    <x:row r="25">
      <x:c r="A25" t="str">
        <x:v>T-24</x:v>
      </x:c>
      <x:c r="B25" t="str">
        <x:v>Monitoring and incident response</x:v>
      </x:c>
      <x:c r="C25" t="str">
        <x:v>Prepare fictional tabletop exercise and evaluation form</x:v>
      </x:c>
      <x:c r="D25" t="n">
        <x:v>3</x:v>
      </x:c>
      <x:c r="E25" t="str">
        <x:v>P3</x:v>
      </x:c>
      <x:c r="F25" t="str">
        <x:v>Technical Owner</x:v>
      </x:c>
      <x:c r="G25" t="str">
        <x:v>Technical Owner</x:v>
      </x:c>
      <x:c r="H25" t="str">
        <x:v>Legal/Privacy; Business Owner</x:v>
      </x:c>
      <x:c r="I25" t="str">
        <x:v>Executive Sponsor; AI Governance Committee</x:v>
      </x:c>
      <x:c r="J25" t="str">
        <x:v>T-17</x:v>
      </x:c>
      <x:c r="K25" t="n">
        <x:v>90</x:v>
      </x:c>
      <x:c r="L25" t="str">
        <x:v>Proposed prepare fictional tabletop exercise and evaluation form artifact / evidence</x:v>
      </x:c>
      <x:c r="M25" t="str">
        <x:v>MANAGE 1.2</x:v>
      </x:c>
      <x:c r="N25" t="str">
        <x:v>Prioritization and treatment of identified risk</x:v>
      </x:c>
      <x:c r="O25" t="str">
        <x:v>Not Started</x:v>
      </x:c>
      <x:c r="P25" t="str"/>
      <x:c r="Q25" t="str"/>
      <x:c r="R25" t="str"/>
      <x:c r="S25" t="str"/>
      <x:c r="T25" t="str">
        <x:f>IF(O25="Completed",IF(AND(P25&lt;&gt;"",Q25="Accepted",R25&lt;&gt;"",S25&lt;&gt;""),"PASS","MISSING APPROVAL/EVIDENCE"),"NOT COMPLETED")</x:f>
        <x:v>NOT COMPLETED</x:v>
      </x:c>
      <x:c r="U25" t="str">
        <x:f>IF(G25="","MISSING ACCOUNTABLE",IF(ISNUMBER(SEARCH(";",G25)),"MULTIPLE ACCOUNTABLE","PASS"))</x:f>
        <x:v>PASS</x:v>
      </x:c>
    </x:row>
    <x:row r="26">
      <x:c r="A26" t="str">
        <x:v>T-25</x:v>
      </x:c>
      <x:c r="B26" t="str">
        <x:v>Evidence and assurance</x:v>
      </x:c>
      <x:c r="C26" t="str">
        <x:v>Establish evidence repository requirements</x:v>
      </x:c>
      <x:c r="D26" t="n">
        <x:v>1</x:v>
      </x:c>
      <x:c r="E26" t="str">
        <x:v>P1</x:v>
      </x:c>
      <x:c r="F26" t="str">
        <x:v>GRC Program Lead</x:v>
      </x:c>
      <x:c r="G26" t="str">
        <x:v>GRC Program Lead</x:v>
      </x:c>
      <x:c r="H26" t="str">
        <x:v>Legal/Privacy; Business Owner</x:v>
      </x:c>
      <x:c r="I26" t="str">
        <x:v>Executive Sponsor; AI Governance Committee</x:v>
      </x:c>
      <x:c r="J26" t="str">
        <x:v>T-03</x:v>
      </x:c>
      <x:c r="K26" t="n">
        <x:v>30</x:v>
      </x:c>
      <x:c r="L26" t="str">
        <x:v>Proposed establish evidence repository requirements artifact / evidence</x:v>
      </x:c>
      <x:c r="M26" t="str">
        <x:v>MEASURE 1.1</x:v>
      </x:c>
      <x:c r="N26" t="str">
        <x:v>Methods for assessing risks and effectiveness</x:v>
      </x:c>
      <x:c r="O26" t="str">
        <x:v>Not Started</x:v>
      </x:c>
      <x:c r="P26" t="str"/>
      <x:c r="Q26" t="str"/>
      <x:c r="R26" t="str"/>
      <x:c r="S26" t="str"/>
      <x:c r="T26" t="str">
        <x:f>IF(O26="Completed",IF(AND(P26&lt;&gt;"",Q26="Accepted",R26&lt;&gt;"",S26&lt;&gt;""),"PASS","MISSING APPROVAL/EVIDENCE"),"NOT COMPLETED")</x:f>
        <x:v>NOT COMPLETED</x:v>
      </x:c>
      <x:c r="U26" t="str">
        <x:f>IF(G26="","MISSING ACCOUNTABLE",IF(ISNUMBER(SEARCH(";",G26)),"MULTIPLE ACCOUNTABLE","PASS"))</x:f>
        <x:v>PASS</x:v>
      </x:c>
    </x:row>
    <x:row r="27">
      <x:c r="A27" t="str">
        <x:v>T-26</x:v>
      </x:c>
      <x:c r="B27" t="str">
        <x:v>Evidence and assurance</x:v>
      </x:c>
      <x:c r="C27" t="str">
        <x:v>Define GRC independent verification workflow</x:v>
      </x:c>
      <x:c r="D27" t="n">
        <x:v>3</x:v>
      </x:c>
      <x:c r="E27" t="str">
        <x:v>P3</x:v>
      </x:c>
      <x:c r="F27" t="str">
        <x:v>GRC Program Lead</x:v>
      </x:c>
      <x:c r="G27" t="str">
        <x:v>GRC Program Lead</x:v>
      </x:c>
      <x:c r="H27" t="str">
        <x:v>Legal/Privacy; Business Owner</x:v>
      </x:c>
      <x:c r="I27" t="str">
        <x:v>Executive Sponsor; AI Governance Committee</x:v>
      </x:c>
      <x:c r="J27" t="str">
        <x:v>T-03</x:v>
      </x:c>
      <x:c r="K27" t="n">
        <x:v>90</x:v>
      </x:c>
      <x:c r="L27" t="str">
        <x:v>Proposed define grc independent verification workflow artifact / evidence</x:v>
      </x:c>
      <x:c r="M27" t="str">
        <x:v>MEASURE 1.1</x:v>
      </x:c>
      <x:c r="N27" t="str">
        <x:v>Methods for assessing risks and effectiveness</x:v>
      </x:c>
      <x:c r="O27" t="str">
        <x:v>Not Started</x:v>
      </x:c>
      <x:c r="P27" t="str"/>
      <x:c r="Q27" t="str"/>
      <x:c r="R27" t="str"/>
      <x:c r="S27" t="str"/>
      <x:c r="T27" t="str">
        <x:f>IF(O27="Completed",IF(AND(P27&lt;&gt;"",Q27="Accepted",R27&lt;&gt;"",S27&lt;&gt;""),"PASS","MISSING APPROVAL/EVIDENCE"),"NOT COMPLETED")</x:f>
        <x:v>NOT COMPLETED</x:v>
      </x:c>
      <x:c r="U27" t="str">
        <x:f>IF(G27="","MISSING ACCOUNTABLE",IF(ISNUMBER(SEARCH(";",G27)),"MULTIPLE ACCOUNTABLE","PASS"))</x:f>
        <x:v>PASS</x:v>
      </x:c>
    </x:row>
    <x:row r="28">
      <x:c r="A28" t="str">
        <x:v>T-27</x:v>
      </x:c>
      <x:c r="B28" t="str">
        <x:v>Evidence and assurance</x:v>
      </x:c>
      <x:c r="C28" t="str">
        <x:v>Create three milestone gate evidence packets</x:v>
      </x:c>
      <x:c r="D28" t="n">
        <x:v>3</x:v>
      </x:c>
      <x:c r="E28" t="str">
        <x:v>P3</x:v>
      </x:c>
      <x:c r="F28" t="str">
        <x:v>GRC Program Lead</x:v>
      </x:c>
      <x:c r="G28" t="str">
        <x:v>GRC Program Lead</x:v>
      </x:c>
      <x:c r="H28" t="str">
        <x:v>Legal/Privacy; Business Owner</x:v>
      </x:c>
      <x:c r="I28" t="str">
        <x:v>Executive Sponsor; AI Governance Committee</x:v>
      </x:c>
      <x:c r="J28" t="str">
        <x:v>T-03</x:v>
      </x:c>
      <x:c r="K28" t="n">
        <x:v>90</x:v>
      </x:c>
      <x:c r="L28" t="str">
        <x:v>Proposed create three milestone gate evidence packets artifact / evidence</x:v>
      </x:c>
      <x:c r="M28" t="str">
        <x:v>MEASURE 1.1</x:v>
      </x:c>
      <x:c r="N28" t="str">
        <x:v>Methods for assessing risks and effectiveness</x:v>
      </x:c>
      <x:c r="O28" t="str">
        <x:v>Not Started</x:v>
      </x:c>
      <x:c r="P28" t="str"/>
      <x:c r="Q28" t="str"/>
      <x:c r="R28" t="str"/>
      <x:c r="S28" t="str"/>
      <x:c r="T28" t="str">
        <x:f>IF(O28="Completed",IF(AND(P28&lt;&gt;"",Q28="Accepted",R28&lt;&gt;"",S28&lt;&gt;""),"PASS","MISSING APPROVAL/EVIDENCE"),"NOT COMPLETED")</x:f>
        <x:v>NOT COMPLETED</x:v>
      </x:c>
      <x:c r="U28" t="str">
        <x:f>IF(G28="","MISSING ACCOUNTABLE",IF(ISNUMBER(SEARCH(";",G28)),"MULTIPLE ACCOUNTABLE","PASS"))</x:f>
        <x:v>PASS</x:v>
      </x:c>
    </x:row>
    <x:row r="29">
      <x:c r="A29" t="str">
        <x:v>T-28</x:v>
      </x:c>
      <x:c r="B29" t="str">
        <x:v>Evidence and assurance</x:v>
      </x:c>
      <x:c r="C29" t="str">
        <x:v>Define validation, audit, and remediation follow-up</x:v>
      </x:c>
      <x:c r="D29" t="n">
        <x:v>3</x:v>
      </x:c>
      <x:c r="E29" t="str">
        <x:v>P3</x:v>
      </x:c>
      <x:c r="F29" t="str">
        <x:v>GRC Program Lead</x:v>
      </x:c>
      <x:c r="G29" t="str">
        <x:v>GRC Program Lead</x:v>
      </x:c>
      <x:c r="H29" t="str">
        <x:v>Legal/Privacy; Business Owner</x:v>
      </x:c>
      <x:c r="I29" t="str">
        <x:v>Executive Sponsor; AI Governance Committee</x:v>
      </x:c>
      <x:c r="J29" t="str">
        <x:v>T-03</x:v>
      </x:c>
      <x:c r="K29" t="n">
        <x:v>90</x:v>
      </x:c>
      <x:c r="L29" t="str">
        <x:v>Proposed define validation, audit, and remediation follow-up artifact / evidence</x:v>
      </x:c>
      <x:c r="M29" t="str">
        <x:v>MEASURE 1.1</x:v>
      </x:c>
      <x:c r="N29" t="str">
        <x:v>Methods for assessing risks and effectiveness</x:v>
      </x:c>
      <x:c r="O29" t="str">
        <x:v>Not Started</x:v>
      </x:c>
      <x:c r="P29" t="str"/>
      <x:c r="Q29" t="str"/>
      <x:c r="R29" t="str"/>
      <x:c r="S29" t="str"/>
      <x:c r="T29" t="str">
        <x:f>IF(O29="Completed",IF(AND(P29&lt;&gt;"",Q29="Accepted",R29&lt;&gt;"",S29&lt;&gt;""),"PASS","MISSING APPROVAL/EVIDENCE"),"NOT COMPLETED")</x:f>
        <x:v>NOT COMPLETED</x:v>
      </x:c>
      <x:c r="U29" t="str">
        <x:f>IF(G29="","MISSING ACCOUNTABLE",IF(ISNUMBER(SEARCH(";",G29)),"MULTIPLE ACCOUNTABLE","PASS"))</x:f>
        <x:v>PASS</x:v>
      </x:c>
    </x:row>
    <x:row r="30">
      <x:c r="A30" t="str">
        <x:v>T-29</x:v>
      </x:c>
      <x:c r="B30" t="str">
        <x:v>Reporting and operational handoff</x:v>
      </x:c>
      <x:c r="C30" t="str">
        <x:v>Design nine-metric implementation dashboard</x:v>
      </x:c>
      <x:c r="D30" t="n">
        <x:v>2</x:v>
      </x:c>
      <x:c r="E30" t="str">
        <x:v>P1</x:v>
      </x:c>
      <x:c r="F30" t="str">
        <x:v>GRC Program Lead</x:v>
      </x:c>
      <x:c r="G30" t="str">
        <x:v>GRC Program Lead</x:v>
      </x:c>
      <x:c r="H30" t="str">
        <x:v>Legal/Privacy; Business Owner</x:v>
      </x:c>
      <x:c r="I30" t="str">
        <x:v>Executive Sponsor; AI Governance Committee</x:v>
      </x:c>
      <x:c r="J30" t="str">
        <x:v>T-26</x:v>
      </x:c>
      <x:c r="K30" t="n">
        <x:v>60</x:v>
      </x:c>
      <x:c r="L30" t="str">
        <x:v>Proposed design nine-metric implementation dashboard artifact / evidence</x:v>
      </x:c>
      <x:c r="M30" t="str">
        <x:v>GOVERN 1.1</x:v>
      </x:c>
      <x:c r="N30" t="str">
        <x:v>Governance policy and legal requirements</x:v>
      </x:c>
      <x:c r="O30" t="str">
        <x:v>Not Started</x:v>
      </x:c>
      <x:c r="P30" t="str"/>
      <x:c r="Q30" t="str"/>
      <x:c r="R30" t="str"/>
      <x:c r="S30" t="str"/>
      <x:c r="T30" t="str">
        <x:f>IF(O30="Completed",IF(AND(P30&lt;&gt;"",Q30="Accepted",R30&lt;&gt;"",S30&lt;&gt;""),"PASS","MISSING APPROVAL/EVIDENCE"),"NOT COMPLETED")</x:f>
        <x:v>NOT COMPLETED</x:v>
      </x:c>
      <x:c r="U30" t="str">
        <x:f>IF(G30="","MISSING ACCOUNTABLE",IF(ISNUMBER(SEARCH(";",G30)),"MULTIPLE ACCOUNTABLE","PASS"))</x:f>
        <x:v>PASS</x:v>
      </x:c>
    </x:row>
    <x:row r="31">
      <x:c r="A31" t="str">
        <x:v>T-30</x:v>
      </x:c>
      <x:c r="B31" t="str">
        <x:v>Reporting and operational handoff</x:v>
      </x:c>
      <x:c r="C31" t="str">
        <x:v>Establish weekly reporting and controlled change log</x:v>
      </x:c>
      <x:c r="D31" t="n">
        <x:v>3</x:v>
      </x:c>
      <x:c r="E31" t="str">
        <x:v>P3</x:v>
      </x:c>
      <x:c r="F31" t="str">
        <x:v>GRC Program Lead</x:v>
      </x:c>
      <x:c r="G31" t="str">
        <x:v>GRC Program Lead</x:v>
      </x:c>
      <x:c r="H31" t="str">
        <x:v>Legal/Privacy; Business Owner</x:v>
      </x:c>
      <x:c r="I31" t="str">
        <x:v>Executive Sponsor; AI Governance Committee</x:v>
      </x:c>
      <x:c r="J31" t="str">
        <x:v>T-26</x:v>
      </x:c>
      <x:c r="K31" t="n">
        <x:v>90</x:v>
      </x:c>
      <x:c r="L31" t="str">
        <x:v>Proposed establish weekly reporting and controlled change log artifact / evidence</x:v>
      </x:c>
      <x:c r="M31" t="str">
        <x:v>GOVERN 1.1</x:v>
      </x:c>
      <x:c r="N31" t="str">
        <x:v>Governance policy and legal requirements</x:v>
      </x:c>
      <x:c r="O31" t="str">
        <x:v>Not Started</x:v>
      </x:c>
      <x:c r="P31" t="str"/>
      <x:c r="Q31" t="str"/>
      <x:c r="R31" t="str"/>
      <x:c r="S31" t="str"/>
      <x:c r="T31" t="str">
        <x:f>IF(O31="Completed",IF(AND(P31&lt;&gt;"",Q31="Accepted",R31&lt;&gt;"",S31&lt;&gt;""),"PASS","MISSING APPROVAL/EVIDENCE"),"NOT COMPLETED")</x:f>
        <x:v>NOT COMPLETED</x:v>
      </x:c>
      <x:c r="U31" t="str">
        <x:f>IF(G31="","MISSING ACCOUNTABLE",IF(ISNUMBER(SEARCH(";",G31)),"MULTIPLE ACCOUNTABLE","PASS"))</x:f>
        <x:v>PASS</x:v>
      </x:c>
    </x:row>
    <x:row r="32">
      <x:c r="A32" t="str">
        <x:v>T-31</x:v>
      </x:c>
      <x:c r="B32" t="str">
        <x:v>Reporting and operational handoff</x:v>
      </x:c>
      <x:c r="C32" t="str">
        <x:v>Prepare Day 90 operational handoff checklist</x:v>
      </x:c>
      <x:c r="D32" t="n">
        <x:v>3</x:v>
      </x:c>
      <x:c r="E32" t="str">
        <x:v>P3</x:v>
      </x:c>
      <x:c r="F32" t="str">
        <x:v>GRC Program Lead</x:v>
      </x:c>
      <x:c r="G32" t="str">
        <x:v>GRC Program Lead</x:v>
      </x:c>
      <x:c r="H32" t="str">
        <x:v>Legal/Privacy; Business Owner</x:v>
      </x:c>
      <x:c r="I32" t="str">
        <x:v>Executive Sponsor; AI Governance Committee</x:v>
      </x:c>
      <x:c r="J32" t="str">
        <x:v>T-26</x:v>
      </x:c>
      <x:c r="K32" t="n">
        <x:v>90</x:v>
      </x:c>
      <x:c r="L32" t="str">
        <x:v>Proposed prepare day 90 operational handoff checklist artifact / evidence</x:v>
      </x:c>
      <x:c r="M32" t="str">
        <x:v>GOVERN 1.1</x:v>
      </x:c>
      <x:c r="N32" t="str">
        <x:v>Governance policy and legal requirements</x:v>
      </x:c>
      <x:c r="O32" t="str">
        <x:v>Not Started</x:v>
      </x:c>
      <x:c r="P32" t="str"/>
      <x:c r="Q32" t="str"/>
      <x:c r="R32" t="str"/>
      <x:c r="S32" t="str"/>
      <x:c r="T32" t="str">
        <x:f>IF(O32="Completed",IF(AND(P32&lt;&gt;"",Q32="Accepted",R32&lt;&gt;"",S32&lt;&gt;""),"PASS","MISSING APPROVAL/EVIDENCE"),"NOT COMPLETED")</x:f>
        <x:v>NOT COMPLETED</x:v>
      </x:c>
      <x:c r="U32" t="str">
        <x:f>IF(G32="","MISSING ACCOUNTABLE",IF(ISNUMBER(SEARCH(";",G32)),"MULTIPLE ACCOUNTABLE","PASS"))</x:f>
        <x:v>PASS</x:v>
      </x:c>
    </x:row>
    <x:row r="33">
      <x:c r="A33" t="str">
        <x:v>T-32</x:v>
      </x:c>
      <x:c r="B33" t="str">
        <x:v>Reporting and operational handoff</x:v>
      </x:c>
      <x:c r="C33" t="str">
        <x:v>Define ongoing committee reporting and improvement backlog</x:v>
      </x:c>
      <x:c r="D33" t="n">
        <x:v>3</x:v>
      </x:c>
      <x:c r="E33" t="str">
        <x:v>P3</x:v>
      </x:c>
      <x:c r="F33" t="str">
        <x:v>GRC Program Lead</x:v>
      </x:c>
      <x:c r="G33" t="str">
        <x:v>AI Governance Committee</x:v>
      </x:c>
      <x:c r="H33" t="str">
        <x:v>Legal/Privacy; Business Owner</x:v>
      </x:c>
      <x:c r="I33" t="str">
        <x:v>Executive Sponsor; AI Governance Committee</x:v>
      </x:c>
      <x:c r="J33" t="str">
        <x:v>T-26</x:v>
      </x:c>
      <x:c r="K33" t="n">
        <x:v>90</x:v>
      </x:c>
      <x:c r="L33" t="str">
        <x:v>Proposed define ongoing committee reporting and improvement backlog artifact / evidence</x:v>
      </x:c>
      <x:c r="M33" t="str">
        <x:v>GOVERN 1.1</x:v>
      </x:c>
      <x:c r="N33" t="str">
        <x:v>Governance policy and legal requirements</x:v>
      </x:c>
      <x:c r="O33" t="str">
        <x:v>Not Started</x:v>
      </x:c>
      <x:c r="P33" t="str"/>
      <x:c r="Q33" t="str"/>
      <x:c r="R33" t="str"/>
      <x:c r="S33" t="str"/>
      <x:c r="T33" t="str">
        <x:f>IF(O33="Completed",IF(AND(P33&lt;&gt;"",Q33="Accepted",R33&lt;&gt;"",S33&lt;&gt;""),"PASS","MISSING APPROVAL/EVIDENCE"),"NOT COMPLETED")</x:f>
        <x:v>NOT COMPLETED</x:v>
      </x:c>
      <x:c r="U33" t="str">
        <x:f>IF(G33="","MISSING ACCOUNTABLE",IF(ISNUMBER(SEARCH(";",G33)),"MULTIPLE ACCOUNTABLE","PASS"))</x:f>
        <x:v>PASS</x:v>
      </x:c>
    </x:row>
  </x:sheetData>
  <x:dataValidations count="3">
    <x:dataValidation type="list" sqref="E2:E33">
      <x:formula1>"P0,P1,P2,P3"</x:formula1>
    </x:dataValidation>
    <x:dataValidation type="list" sqref="O2:O33">
      <x:formula1>"Not Started,In Progress,Blocked,Pending Verification,Completed,Cancelled / Not Applicable"</x:formula1>
    </x:dataValidation>
    <x:dataValidation type="list" sqref="Q2:Q33">
      <x:formula1>"Pending,Accepted,Rejected"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6" hidden="0" customWidth="1"/>
    <x:col min="3" max="3" width="28" hidden="0" customWidth="1"/>
    <x:col min="4" max="4" width="42" hidden="0" customWidth="1"/>
    <x:col min="5" max="5" width="42" hidden="0" customWidth="1"/>
    <x:col min="6" max="6" width="28" hidden="0" customWidth="1"/>
  </x:cols>
  <x:sheetData>
    <x:row r="1" ht="30" customHeight="1">
      <x:c r="A1" s="4" t="str">
        <x:v>Task ID</x:v>
      </x:c>
      <x:c r="B1" s="4" t="str">
        <x:v>R</x:v>
      </x:c>
      <x:c r="C1" s="4" t="str">
        <x:v>A (exactly one)</x:v>
      </x:c>
      <x:c r="D1" s="4" t="str">
        <x:v>C</x:v>
      </x:c>
      <x:c r="E1" s="4" t="str">
        <x:v>I</x:v>
      </x:c>
      <x:c r="F1" s="4" t="str">
        <x:v>Accountability validation</x:v>
      </x:c>
    </x:row>
    <x:row r="2">
      <x:c r="A2" t="str">
        <x:v>T-01</x:v>
      </x:c>
      <x:c r="B2" t="str">
        <x:v>Legal/Privacy</x:v>
      </x:c>
      <x:c r="C2" t="str">
        <x:v>Legal/Privacy</x:v>
      </x:c>
      <x:c r="D2" t="str">
        <x:v>Legal/Privacy; Business Owner</x:v>
      </x:c>
      <x:c r="E2" t="str">
        <x:v>Executive Sponsor; AI Governance Committee</x:v>
      </x:c>
      <x:c r="F2" t="str">
        <x:f>'Implementation Tasks'!U2</x:f>
        <x:v>PASS</x:v>
      </x:c>
    </x:row>
    <x:row r="3">
      <x:c r="A3" t="str">
        <x:v>T-02</x:v>
      </x:c>
      <x:c r="B3" t="str">
        <x:v>GRC Program Lead</x:v>
      </x:c>
      <x:c r="C3" t="str">
        <x:v>GRC Program Lead</x:v>
      </x:c>
      <x:c r="D3" t="str">
        <x:v>Legal/Privacy; Business Owner</x:v>
      </x:c>
      <x:c r="E3" t="str">
        <x:v>Executive Sponsor; AI Governance Committee</x:v>
      </x:c>
      <x:c r="F3" t="str">
        <x:f>'Implementation Tasks'!U3</x:f>
        <x:v>PASS</x:v>
      </x:c>
    </x:row>
    <x:row r="4">
      <x:c r="A4" t="str">
        <x:v>T-03</x:v>
      </x:c>
      <x:c r="B4" t="str">
        <x:v>GRC Program Lead</x:v>
      </x:c>
      <x:c r="C4" t="str">
        <x:v>GRC Program Lead</x:v>
      </x:c>
      <x:c r="D4" t="str">
        <x:v>Legal/Privacy; Business Owner</x:v>
      </x:c>
      <x:c r="E4" t="str">
        <x:v>Executive Sponsor; AI Governance Committee</x:v>
      </x:c>
      <x:c r="F4" t="str">
        <x:f>'Implementation Tasks'!U4</x:f>
        <x:v>PASS</x:v>
      </x:c>
    </x:row>
    <x:row r="5">
      <x:c r="A5" t="str">
        <x:v>T-04</x:v>
      </x:c>
      <x:c r="B5" t="str">
        <x:v>GRC Program Lead</x:v>
      </x:c>
      <x:c r="C5" t="str">
        <x:v>AI Governance Committee</x:v>
      </x:c>
      <x:c r="D5" t="str">
        <x:v>Legal/Privacy; Business Owner</x:v>
      </x:c>
      <x:c r="E5" t="str">
        <x:v>Executive Sponsor; AI Governance Committee</x:v>
      </x:c>
      <x:c r="F5" t="str">
        <x:f>'Implementation Tasks'!U5</x:f>
        <x:v>PASS</x:v>
      </x:c>
    </x:row>
    <x:row r="6">
      <x:c r="A6" t="str">
        <x:v>T-05</x:v>
      </x:c>
      <x:c r="B6" t="str">
        <x:v>Business Owner</x:v>
      </x:c>
      <x:c r="C6" t="str">
        <x:v>Business Owner</x:v>
      </x:c>
      <x:c r="D6" t="str">
        <x:v>Legal/Privacy; Business Owner</x:v>
      </x:c>
      <x:c r="E6" t="str">
        <x:v>Executive Sponsor; AI Governance Committee</x:v>
      </x:c>
      <x:c r="F6" t="str">
        <x:f>'Implementation Tasks'!U6</x:f>
        <x:v>PASS</x:v>
      </x:c>
    </x:row>
    <x:row r="7">
      <x:c r="A7" t="str">
        <x:v>T-06</x:v>
      </x:c>
      <x:c r="B7" t="str">
        <x:v>Business Owner</x:v>
      </x:c>
      <x:c r="C7" t="str">
        <x:v>Business Owner</x:v>
      </x:c>
      <x:c r="D7" t="str">
        <x:v>Legal/Privacy; Business Owner</x:v>
      </x:c>
      <x:c r="E7" t="str">
        <x:v>Executive Sponsor; AI Governance Committee</x:v>
      </x:c>
      <x:c r="F7" t="str">
        <x:f>'Implementation Tasks'!U7</x:f>
        <x:v>PASS</x:v>
      </x:c>
    </x:row>
    <x:row r="8">
      <x:c r="A8" t="str">
        <x:v>T-07</x:v>
      </x:c>
      <x:c r="B8" t="str">
        <x:v>Business Owner</x:v>
      </x:c>
      <x:c r="C8" t="str">
        <x:v>Business Owner</x:v>
      </x:c>
      <x:c r="D8" t="str">
        <x:v>Legal/Privacy; Business Owner</x:v>
      </x:c>
      <x:c r="E8" t="str">
        <x:v>Executive Sponsor; AI Governance Committee</x:v>
      </x:c>
      <x:c r="F8" t="str">
        <x:f>'Implementation Tasks'!U8</x:f>
        <x:v>PASS</x:v>
      </x:c>
    </x:row>
    <x:row r="9">
      <x:c r="A9" t="str">
        <x:v>T-08</x:v>
      </x:c>
      <x:c r="B9" t="str">
        <x:v>Business Owner</x:v>
      </x:c>
      <x:c r="C9" t="str">
        <x:v>Business Owner</x:v>
      </x:c>
      <x:c r="D9" t="str">
        <x:v>Legal/Privacy; Business Owner</x:v>
      </x:c>
      <x:c r="E9" t="str">
        <x:v>Executive Sponsor; AI Governance Committee</x:v>
      </x:c>
      <x:c r="F9" t="str">
        <x:f>'Implementation Tasks'!U9</x:f>
        <x:v>PASS</x:v>
      </x:c>
    </x:row>
    <x:row r="10">
      <x:c r="A10" t="str">
        <x:v>T-09</x:v>
      </x:c>
      <x:c r="B10" t="str">
        <x:v>GRC Program Lead</x:v>
      </x:c>
      <x:c r="C10" t="str">
        <x:v>GRC Program Lead</x:v>
      </x:c>
      <x:c r="D10" t="str">
        <x:v>Legal/Privacy; Business Owner</x:v>
      </x:c>
      <x:c r="E10" t="str">
        <x:v>Executive Sponsor; AI Governance Committee</x:v>
      </x:c>
      <x:c r="F10" t="str">
        <x:f>'Implementation Tasks'!U10</x:f>
        <x:v>PASS</x:v>
      </x:c>
    </x:row>
    <x:row r="11">
      <x:c r="A11" t="str">
        <x:v>T-10</x:v>
      </x:c>
      <x:c r="B11" t="str">
        <x:v>GRC Program Lead</x:v>
      </x:c>
      <x:c r="C11" t="str">
        <x:v>GRC Program Lead</x:v>
      </x:c>
      <x:c r="D11" t="str">
        <x:v>Legal/Privacy; Business Owner</x:v>
      </x:c>
      <x:c r="E11" t="str">
        <x:v>Executive Sponsor; AI Governance Committee</x:v>
      </x:c>
      <x:c r="F11" t="str">
        <x:f>'Implementation Tasks'!U11</x:f>
        <x:v>PASS</x:v>
      </x:c>
    </x:row>
    <x:row r="12">
      <x:c r="A12" t="str">
        <x:v>T-11</x:v>
      </x:c>
      <x:c r="B12" t="str">
        <x:v>GRC Program Lead</x:v>
      </x:c>
      <x:c r="C12" t="str">
        <x:v>GRC Program Lead</x:v>
      </x:c>
      <x:c r="D12" t="str">
        <x:v>Legal/Privacy; Business Owner</x:v>
      </x:c>
      <x:c r="E12" t="str">
        <x:v>Executive Sponsor; AI Governance Committee</x:v>
      </x:c>
      <x:c r="F12" t="str">
        <x:f>'Implementation Tasks'!U12</x:f>
        <x:v>PASS</x:v>
      </x:c>
    </x:row>
    <x:row r="13">
      <x:c r="A13" t="str">
        <x:v>T-12</x:v>
      </x:c>
      <x:c r="B13" t="str">
        <x:v>GRC Program Lead</x:v>
      </x:c>
      <x:c r="C13" t="str">
        <x:v>GRC Program Lead</x:v>
      </x:c>
      <x:c r="D13" t="str">
        <x:v>Legal/Privacy; Business Owner</x:v>
      </x:c>
      <x:c r="E13" t="str">
        <x:v>Executive Sponsor; AI Governance Committee</x:v>
      </x:c>
      <x:c r="F13" t="str">
        <x:f>'Implementation Tasks'!U13</x:f>
        <x:v>PASS</x:v>
      </x:c>
    </x:row>
    <x:row r="14">
      <x:c r="A14" t="str">
        <x:v>T-13</x:v>
      </x:c>
      <x:c r="B14" t="str">
        <x:v>Business Owner</x:v>
      </x:c>
      <x:c r="C14" t="str">
        <x:v>Legal/Privacy</x:v>
      </x:c>
      <x:c r="D14" t="str">
        <x:v>GRC Program Lead; Technical Owner</x:v>
      </x:c>
      <x:c r="E14" t="str">
        <x:v>Executive Sponsor; AI Governance Committee</x:v>
      </x:c>
      <x:c r="F14" t="str">
        <x:f>'Implementation Tasks'!U14</x:f>
        <x:v>PASS</x:v>
      </x:c>
    </x:row>
    <x:row r="15">
      <x:c r="A15" t="str">
        <x:v>T-14</x:v>
      </x:c>
      <x:c r="B15" t="str">
        <x:v>Business Owner</x:v>
      </x:c>
      <x:c r="C15" t="str">
        <x:v>Legal/Privacy</x:v>
      </x:c>
      <x:c r="D15" t="str">
        <x:v>GRC Program Lead; Technical Owner</x:v>
      </x:c>
      <x:c r="E15" t="str">
        <x:v>Executive Sponsor; AI Governance Committee</x:v>
      </x:c>
      <x:c r="F15" t="str">
        <x:f>'Implementation Tasks'!U15</x:f>
        <x:v>PASS</x:v>
      </x:c>
    </x:row>
    <x:row r="16">
      <x:c r="A16" t="str">
        <x:v>T-15</x:v>
      </x:c>
      <x:c r="B16" t="str">
        <x:v>Business Owner</x:v>
      </x:c>
      <x:c r="C16" t="str">
        <x:v>Legal/Privacy</x:v>
      </x:c>
      <x:c r="D16" t="str">
        <x:v>GRC Program Lead; Technical Owner</x:v>
      </x:c>
      <x:c r="E16" t="str">
        <x:v>Executive Sponsor; AI Governance Committee</x:v>
      </x:c>
      <x:c r="F16" t="str">
        <x:f>'Implementation Tasks'!U16</x:f>
        <x:v>PASS</x:v>
      </x:c>
    </x:row>
    <x:row r="17">
      <x:c r="A17" t="str">
        <x:v>T-16</x:v>
      </x:c>
      <x:c r="B17" t="str">
        <x:v>Business Owner</x:v>
      </x:c>
      <x:c r="C17" t="str">
        <x:v>Legal/Privacy</x:v>
      </x:c>
      <x:c r="D17" t="str">
        <x:v>GRC Program Lead; Technical Owner</x:v>
      </x:c>
      <x:c r="E17" t="str">
        <x:v>Executive Sponsor; AI Governance Committee</x:v>
      </x:c>
      <x:c r="F17" t="str">
        <x:f>'Implementation Tasks'!U17</x:f>
        <x:v>PASS</x:v>
      </x:c>
    </x:row>
    <x:row r="18">
      <x:c r="A18" t="str">
        <x:v>T-17</x:v>
      </x:c>
      <x:c r="B18" t="str">
        <x:v>Technical Owner</x:v>
      </x:c>
      <x:c r="C18" t="str">
        <x:v>Technical Owner</x:v>
      </x:c>
      <x:c r="D18" t="str">
        <x:v>Legal/Privacy; Business Owner</x:v>
      </x:c>
      <x:c r="E18" t="str">
        <x:v>Executive Sponsor; AI Governance Committee</x:v>
      </x:c>
      <x:c r="F18" t="str">
        <x:f>'Implementation Tasks'!U18</x:f>
        <x:v>PASS</x:v>
      </x:c>
    </x:row>
    <x:row r="19">
      <x:c r="A19" t="str">
        <x:v>T-18</x:v>
      </x:c>
      <x:c r="B19" t="str">
        <x:v>Technical Owner</x:v>
      </x:c>
      <x:c r="C19" t="str">
        <x:v>Technical Owner</x:v>
      </x:c>
      <x:c r="D19" t="str">
        <x:v>Legal/Privacy; Business Owner</x:v>
      </x:c>
      <x:c r="E19" t="str">
        <x:v>Executive Sponsor; AI Governance Committee</x:v>
      </x:c>
      <x:c r="F19" t="str">
        <x:f>'Implementation Tasks'!U19</x:f>
        <x:v>PASS</x:v>
      </x:c>
    </x:row>
    <x:row r="20">
      <x:c r="A20" t="str">
        <x:v>T-19</x:v>
      </x:c>
      <x:c r="B20" t="str">
        <x:v>Technical Owner</x:v>
      </x:c>
      <x:c r="C20" t="str">
        <x:v>Technical Owner</x:v>
      </x:c>
      <x:c r="D20" t="str">
        <x:v>Legal/Privacy; Business Owner</x:v>
      </x:c>
      <x:c r="E20" t="str">
        <x:v>Executive Sponsor; AI Governance Committee</x:v>
      </x:c>
      <x:c r="F20" t="str">
        <x:f>'Implementation Tasks'!U20</x:f>
        <x:v>PASS</x:v>
      </x:c>
    </x:row>
    <x:row r="21">
      <x:c r="A21" t="str">
        <x:v>T-20</x:v>
      </x:c>
      <x:c r="B21" t="str">
        <x:v>Technical Owner</x:v>
      </x:c>
      <x:c r="C21" t="str">
        <x:v>AI Governance Committee</x:v>
      </x:c>
      <x:c r="D21" t="str">
        <x:v>Legal/Privacy; Business Owner</x:v>
      </x:c>
      <x:c r="E21" t="str">
        <x:v>Executive Sponsor; AI Governance Committee</x:v>
      </x:c>
      <x:c r="F21" t="str">
        <x:f>'Implementation Tasks'!U21</x:f>
        <x:v>PASS</x:v>
      </x:c>
    </x:row>
    <x:row r="22">
      <x:c r="A22" t="str">
        <x:v>T-21</x:v>
      </x:c>
      <x:c r="B22" t="str">
        <x:v>Technical Owner</x:v>
      </x:c>
      <x:c r="C22" t="str">
        <x:v>Technical Owner</x:v>
      </x:c>
      <x:c r="D22" t="str">
        <x:v>Legal/Privacy; Business Owner</x:v>
      </x:c>
      <x:c r="E22" t="str">
        <x:v>Executive Sponsor; AI Governance Committee</x:v>
      </x:c>
      <x:c r="F22" t="str">
        <x:f>'Implementation Tasks'!U22</x:f>
        <x:v>PASS</x:v>
      </x:c>
    </x:row>
    <x:row r="23">
      <x:c r="A23" t="str">
        <x:v>T-22</x:v>
      </x:c>
      <x:c r="B23" t="str">
        <x:v>Technical Owner</x:v>
      </x:c>
      <x:c r="C23" t="str">
        <x:v>Technical Owner</x:v>
      </x:c>
      <x:c r="D23" t="str">
        <x:v>Legal/Privacy; Business Owner</x:v>
      </x:c>
      <x:c r="E23" t="str">
        <x:v>Executive Sponsor; AI Governance Committee</x:v>
      </x:c>
      <x:c r="F23" t="str">
        <x:f>'Implementation Tasks'!U23</x:f>
        <x:v>PASS</x:v>
      </x:c>
    </x:row>
    <x:row r="24">
      <x:c r="A24" t="str">
        <x:v>T-23</x:v>
      </x:c>
      <x:c r="B24" t="str">
        <x:v>Technical Owner</x:v>
      </x:c>
      <x:c r="C24" t="str">
        <x:v>Technical Owner</x:v>
      </x:c>
      <x:c r="D24" t="str">
        <x:v>Legal/Privacy; Business Owner</x:v>
      </x:c>
      <x:c r="E24" t="str">
        <x:v>Executive Sponsor; AI Governance Committee</x:v>
      </x:c>
      <x:c r="F24" t="str">
        <x:f>'Implementation Tasks'!U24</x:f>
        <x:v>PASS</x:v>
      </x:c>
    </x:row>
    <x:row r="25">
      <x:c r="A25" t="str">
        <x:v>T-24</x:v>
      </x:c>
      <x:c r="B25" t="str">
        <x:v>Technical Owner</x:v>
      </x:c>
      <x:c r="C25" t="str">
        <x:v>Technical Owner</x:v>
      </x:c>
      <x:c r="D25" t="str">
        <x:v>Legal/Privacy; Business Owner</x:v>
      </x:c>
      <x:c r="E25" t="str">
        <x:v>Executive Sponsor; AI Governance Committee</x:v>
      </x:c>
      <x:c r="F25" t="str">
        <x:f>'Implementation Tasks'!U25</x:f>
        <x:v>PASS</x:v>
      </x:c>
    </x:row>
    <x:row r="26">
      <x:c r="A26" t="str">
        <x:v>T-25</x:v>
      </x:c>
      <x:c r="B26" t="str">
        <x:v>GRC Program Lead</x:v>
      </x:c>
      <x:c r="C26" t="str">
        <x:v>GRC Program Lead</x:v>
      </x:c>
      <x:c r="D26" t="str">
        <x:v>Legal/Privacy; Business Owner</x:v>
      </x:c>
      <x:c r="E26" t="str">
        <x:v>Executive Sponsor; AI Governance Committee</x:v>
      </x:c>
      <x:c r="F26" t="str">
        <x:f>'Implementation Tasks'!U26</x:f>
        <x:v>PASS</x:v>
      </x:c>
    </x:row>
    <x:row r="27">
      <x:c r="A27" t="str">
        <x:v>T-26</x:v>
      </x:c>
      <x:c r="B27" t="str">
        <x:v>GRC Program Lead</x:v>
      </x:c>
      <x:c r="C27" t="str">
        <x:v>GRC Program Lead</x:v>
      </x:c>
      <x:c r="D27" t="str">
        <x:v>Legal/Privacy; Business Owner</x:v>
      </x:c>
      <x:c r="E27" t="str">
        <x:v>Executive Sponsor; AI Governance Committee</x:v>
      </x:c>
      <x:c r="F27" t="str">
        <x:f>'Implementation Tasks'!U27</x:f>
        <x:v>PASS</x:v>
      </x:c>
    </x:row>
    <x:row r="28">
      <x:c r="A28" t="str">
        <x:v>T-27</x:v>
      </x:c>
      <x:c r="B28" t="str">
        <x:v>GRC Program Lead</x:v>
      </x:c>
      <x:c r="C28" t="str">
        <x:v>GRC Program Lead</x:v>
      </x:c>
      <x:c r="D28" t="str">
        <x:v>Legal/Privacy; Business Owner</x:v>
      </x:c>
      <x:c r="E28" t="str">
        <x:v>Executive Sponsor; AI Governance Committee</x:v>
      </x:c>
      <x:c r="F28" t="str">
        <x:f>'Implementation Tasks'!U28</x:f>
        <x:v>PASS</x:v>
      </x:c>
    </x:row>
    <x:row r="29">
      <x:c r="A29" t="str">
        <x:v>T-28</x:v>
      </x:c>
      <x:c r="B29" t="str">
        <x:v>GRC Program Lead</x:v>
      </x:c>
      <x:c r="C29" t="str">
        <x:v>GRC Program Lead</x:v>
      </x:c>
      <x:c r="D29" t="str">
        <x:v>Legal/Privacy; Business Owner</x:v>
      </x:c>
      <x:c r="E29" t="str">
        <x:v>Executive Sponsor; AI Governance Committee</x:v>
      </x:c>
      <x:c r="F29" t="str">
        <x:f>'Implementation Tasks'!U29</x:f>
        <x:v>PASS</x:v>
      </x:c>
    </x:row>
    <x:row r="30">
      <x:c r="A30" t="str">
        <x:v>T-29</x:v>
      </x:c>
      <x:c r="B30" t="str">
        <x:v>GRC Program Lead</x:v>
      </x:c>
      <x:c r="C30" t="str">
        <x:v>GRC Program Lead</x:v>
      </x:c>
      <x:c r="D30" t="str">
        <x:v>Legal/Privacy; Business Owner</x:v>
      </x:c>
      <x:c r="E30" t="str">
        <x:v>Executive Sponsor; AI Governance Committee</x:v>
      </x:c>
      <x:c r="F30" t="str">
        <x:f>'Implementation Tasks'!U30</x:f>
        <x:v>PASS</x:v>
      </x:c>
    </x:row>
    <x:row r="31">
      <x:c r="A31" t="str">
        <x:v>T-30</x:v>
      </x:c>
      <x:c r="B31" t="str">
        <x:v>GRC Program Lead</x:v>
      </x:c>
      <x:c r="C31" t="str">
        <x:v>GRC Program Lead</x:v>
      </x:c>
      <x:c r="D31" t="str">
        <x:v>Legal/Privacy; Business Owner</x:v>
      </x:c>
      <x:c r="E31" t="str">
        <x:v>Executive Sponsor; AI Governance Committee</x:v>
      </x:c>
      <x:c r="F31" t="str">
        <x:f>'Implementation Tasks'!U31</x:f>
        <x:v>PASS</x:v>
      </x:c>
    </x:row>
    <x:row r="32">
      <x:c r="A32" t="str">
        <x:v>T-31</x:v>
      </x:c>
      <x:c r="B32" t="str">
        <x:v>GRC Program Lead</x:v>
      </x:c>
      <x:c r="C32" t="str">
        <x:v>GRC Program Lead</x:v>
      </x:c>
      <x:c r="D32" t="str">
        <x:v>Legal/Privacy; Business Owner</x:v>
      </x:c>
      <x:c r="E32" t="str">
        <x:v>Executive Sponsor; AI Governance Committee</x:v>
      </x:c>
      <x:c r="F32" t="str">
        <x:f>'Implementation Tasks'!U32</x:f>
        <x:v>PASS</x:v>
      </x:c>
    </x:row>
    <x:row r="33">
      <x:c r="A33" t="str">
        <x:v>T-32</x:v>
      </x:c>
      <x:c r="B33" t="str">
        <x:v>GRC Program Lead</x:v>
      </x:c>
      <x:c r="C33" t="str">
        <x:v>AI Governance Committee</x:v>
      </x:c>
      <x:c r="D33" t="str">
        <x:v>Legal/Privacy; Business Owner</x:v>
      </x:c>
      <x:c r="E33" t="str">
        <x:v>Executive Sponsor; AI Governance Committee</x:v>
      </x:c>
      <x:c r="F33" t="str">
        <x:f>'Implementation Tasks'!U33</x:f>
        <x:v>PASS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1" hidden="0" customWidth="1"/>
    <x:col min="4" max="4" width="62" hidden="0" customWidth="1"/>
    <x:col min="5" max="5" width="23" hidden="0" customWidth="1"/>
    <x:col min="6" max="6" width="24" hidden="0" customWidth="1"/>
    <x:col min="7" max="7" width="19" hidden="0" customWidth="1"/>
    <x:col min="8" max="8" width="25" hidden="0" customWidth="1"/>
  </x:cols>
  <x:sheetData>
    <x:row r="1" ht="30" customHeight="1">
      <x:c r="A1" s="4" t="str">
        <x:v>Gate ID</x:v>
      </x:c>
      <x:c r="B1" s="4" t="str">
        <x:v>Target day</x:v>
      </x:c>
      <x:c r="C1" s="4" t="str">
        <x:v>Gate description</x:v>
      </x:c>
      <x:c r="D1" s="4" t="str">
        <x:v>Required evidence</x:v>
      </x:c>
      <x:c r="E1" s="4" t="str">
        <x:v>GRC verification</x:v>
      </x:c>
      <x:c r="F1" s="4" t="str">
        <x:v>Committee approval</x:v>
      </x:c>
      <x:c r="G1" s="4" t="str">
        <x:v>Status</x:v>
      </x:c>
      <x:c r="H1" s="4" t="str">
        <x:v>Blocking issues</x:v>
      </x:c>
    </x:row>
    <x:row r="2">
      <x:c r="A2" t="str">
        <x:v>G1</x:v>
      </x:c>
      <x:c r="B2" t="n">
        <x:v>30</x:v>
      </x:c>
      <x:c r="C2" t="str">
        <x:v>Governance foundation</x:v>
      </x:c>
      <x:c r="D2" t="str">
        <x:v>Owner assignments; legal screening; inventory; intake</x:v>
      </x:c>
      <x:c r="E2" t="str"/>
      <x:c r="F2" t="str"/>
      <x:c r="G2" t="str">
        <x:v>Pending</x:v>
      </x:c>
      <x:c r="H2" t="str">
        <x:v>Not assessed</x:v>
      </x:c>
    </x:row>
    <x:row r="3">
      <x:c r="A3" t="str">
        <x:v>G2</x:v>
      </x:c>
      <x:c r="B3" t="n">
        <x:v>60</x:v>
      </x:c>
      <x:c r="C3" t="str">
        <x:v>Risk and control readiness</x:v>
      </x:c>
      <x:c r="D3" t="str">
        <x:v>Risk assessments; vendor checks; control ownership; oversight</x:v>
      </x:c>
      <x:c r="E3" t="str"/>
      <x:c r="F3" t="str"/>
      <x:c r="G3" t="str">
        <x:v>Pending</x:v>
      </x:c>
      <x:c r="H3" t="str">
        <x:v>Not assessed</x:v>
      </x:c>
    </x:row>
    <x:row r="4">
      <x:c r="A4" t="str">
        <x:v>G3</x:v>
      </x:c>
      <x:c r="B4" t="n">
        <x:v>90</x:v>
      </x:c>
      <x:c r="C4" t="str">
        <x:v>Operational readiness</x:v>
      </x:c>
      <x:c r="D4" t="str">
        <x:v>Validation; monitoring; incident readiness; reporting; owner handoff</x:v>
      </x:c>
      <x:c r="E4" t="str"/>
      <x:c r="F4" t="str"/>
      <x:c r="G4" t="str">
        <x:v>Pending</x:v>
      </x:c>
      <x:c r="H4" t="str">
        <x:v>Not assessed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40" hidden="0" customWidth="1"/>
    <x:col min="4" max="4" width="26" hidden="0" customWidth="1"/>
    <x:col min="5" max="5" width="34" hidden="0" customWidth="1"/>
    <x:col min="6" max="6" width="24" hidden="0" customWidth="1"/>
    <x:col min="7" max="7" width="21" hidden="0" customWidth="1"/>
    <x:col min="8" max="8" width="20" hidden="0" customWidth="1"/>
    <x:col min="9" max="9" width="20" hidden="0" customWidth="1"/>
    <x:col min="10" max="10" width="26" hidden="0" customWidth="1"/>
    <x:col min="11" max="11" width="26" hidden="0" customWidth="1"/>
  </x:cols>
  <x:sheetData>
    <x:row r="1" ht="30" customHeight="1">
      <x:c r="A1" s="4" t="str">
        <x:v>Evidence ID</x:v>
      </x:c>
      <x:c r="B1" s="4" t="str">
        <x:v>Task ID</x:v>
      </x:c>
      <x:c r="C1" s="4" t="str">
        <x:v>Description</x:v>
      </x:c>
      <x:c r="D1" s="4" t="str">
        <x:v>Type / stage</x:v>
      </x:c>
      <x:c r="E1" s="4" t="str">
        <x:v>Source location</x:v>
      </x:c>
      <x:c r="F1" s="4" t="str">
        <x:v>Owner</x:v>
      </x:c>
      <x:c r="G1" s="4" t="str">
        <x:v>Collected date</x:v>
      </x:c>
      <x:c r="H1" s="4" t="str">
        <x:v>Review date</x:v>
      </x:c>
      <x:c r="I1" s="4" t="str">
        <x:v>GRC outcome</x:v>
      </x:c>
      <x:c r="J1" s="4" t="str">
        <x:v>Approver / decision</x:v>
      </x:c>
      <x:c r="K1" s="4" t="str">
        <x:v>Retention / access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5" hidden="0" customWidth="1"/>
    <x:col min="3" max="3" width="24" hidden="0" customWidth="1"/>
    <x:col min="4" max="4" width="25" hidden="0" customWidth="1"/>
    <x:col min="5" max="5" width="24" hidden="0" customWidth="1"/>
    <x:col min="6" max="6" width="46" hidden="0" customWidth="1"/>
    <x:col min="7" max="7" width="25" hidden="0" customWidth="1"/>
    <x:col min="8" max="8" width="40" hidden="0" customWidth="1"/>
  </x:cols>
  <x:sheetData>
    <x:row r="1" ht="30" customHeight="1">
      <x:c r="A1" s="4" t="str">
        <x:v>ID / Type</x:v>
      </x:c>
      <x:c r="B1" s="4" t="str">
        <x:v>Description</x:v>
      </x:c>
      <x:c r="C1" s="4" t="str">
        <x:v>Priority / impact</x:v>
      </x:c>
      <x:c r="D1" s="4" t="str">
        <x:v>Accountable owner</x:v>
      </x:c>
      <x:c r="E1" s="4" t="str">
        <x:v>Affected task / gate</x:v>
      </x:c>
      <x:c r="F1" s="4" t="str">
        <x:v>Mitigation / resolution</x:v>
      </x:c>
      <x:c r="G1" s="4" t="str">
        <x:v>Due / status</x:v>
      </x:c>
      <x:c r="H1" s="4" t="str">
        <x:v>Escalation / evidence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5" hidden="0" customWidth="1"/>
    <x:col min="3" max="3" width="30" hidden="0" customWidth="1"/>
    <x:col min="4" max="4" width="35" hidden="0" customWidth="1"/>
    <x:col min="5" max="5" width="42" hidden="0" customWidth="1"/>
    <x:col min="6" max="6" width="37" hidden="0" customWidth="1"/>
    <x:col min="7" max="7" width="33" hidden="0" customWidth="1"/>
    <x:col min="8" max="8" width="37" hidden="0" customWidth="1"/>
    <x:col min="9" max="9" width="38" hidden="0" customWidth="1"/>
  </x:cols>
  <x:sheetData>
    <x:row r="1" ht="30" customHeight="1">
      <x:c r="A1" s="4" t="str">
        <x:v>Unique ID</x:v>
      </x:c>
      <x:c r="B1" s="4" t="str">
        <x:v>Date / requester / owner</x:v>
      </x:c>
      <x:c r="C1" s="4" t="str">
        <x:v>Original value</x:v>
      </x:c>
      <x:c r="D1" s="4" t="str">
        <x:v>Proposed value</x:v>
      </x:c>
      <x:c r="E1" s="4" t="str">
        <x:v>Reason / impact</x:v>
      </x:c>
      <x:c r="F1" s="4" t="str">
        <x:v>Approval status / authority</x:v>
      </x:c>
      <x:c r="G1" s="4" t="str">
        <x:v>Effective date / reference</x:v>
      </x:c>
      <x:c r="H1" s="4" t="str">
        <x:v>Evidence / version</x:v>
      </x:c>
      <x:c r="I1" s="4" t="str">
        <x:v>Preserved historical note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5" hidden="0" customWidth="1"/>
    <x:col min="3" max="3" width="25" hidden="0" customWidth="1"/>
    <x:col min="4" max="4" width="60" hidden="0" customWidth="1"/>
    <x:col min="5" max="5" width="55" hidden="0" customWidth="1"/>
  </x:cols>
  <x:sheetData>
    <x:row r="1" ht="30" customHeight="1">
      <x:c r="A1" s="4" t="str">
        <x:v>Planning area</x:v>
      </x:c>
      <x:c r="B1" s="4" t="str">
        <x:v>Evidence classification</x:v>
      </x:c>
      <x:c r="C1" s="4" t="str">
        <x:v>Affected tasks / phase</x:v>
      </x:c>
      <x:c r="D1" s="4" t="str">
        <x:v>Assumption or constraint</x:v>
      </x:c>
      <x:c r="E1" s="4" t="str">
        <x:v>Contingency / validation</x:v>
      </x:c>
    </x:row>
    <x:row r="2">
      <x:c r="A2" t="str">
        <x:v>Staffing / role availability</x:v>
      </x:c>
      <x:c r="B2" t="str">
        <x:v>To Be Determined</x:v>
      </x:c>
      <x:c r="C2" t="str">
        <x:v>All phases</x:v>
      </x:c>
      <x:c r="D2" t="str">
        <x:v>No headcount or capacity evidenced</x:v>
      </x:c>
      <x:c r="E2" t="str">
        <x:v>Confirm staffing and capacity before assignment</x:v>
      </x:c>
    </x:row>
    <x:row r="3">
      <x:c r="A3" t="str">
        <x:v>Budget considerations</x:v>
      </x:c>
      <x:c r="B3" t="str">
        <x:v>To Be Determined</x:v>
      </x:c>
      <x:c r="C3" t="str">
        <x:v>All phases</x:v>
      </x:c>
      <x:c r="D3" t="str">
        <x:v>No expenditure values known</x:v>
      </x:c>
      <x:c r="E3" t="str">
        <x:v>Obtain authorized budget</x:v>
      </x:c>
    </x:row>
    <x:row r="4">
      <x:c r="A4" t="str">
        <x:v>Technology and tooling</x:v>
      </x:c>
      <x:c r="B4" t="str">
        <x:v>Assumption</x:v>
      </x:c>
      <x:c r="C4" t="str">
        <x:v>Inventory / monitoring</x:v>
      </x:c>
      <x:c r="D4" t="str">
        <x:v>Access to suitable registers and logs presumed</x:v>
      </x:c>
      <x:c r="E4" t="str">
        <x:v>Confirm tooling feasibility</x:v>
      </x:c>
    </x:row>
    <x:row r="5">
      <x:c r="A5" t="str">
        <x:v>Training needs</x:v>
      </x:c>
      <x:c r="B5" t="str">
        <x:v>Assumption</x:v>
      </x:c>
      <x:c r="C5" t="str">
        <x:v>All workstreams</x:v>
      </x:c>
      <x:c r="D5" t="str">
        <x:v>Role-specific training needed</x:v>
      </x:c>
      <x:c r="E5" t="str">
        <x:v>Develop role-based training</x:v>
      </x:c>
    </x:row>
    <x:row r="6">
      <x:c r="A6" t="str">
        <x:v>External dependencies</x:v>
      </x:c>
      <x:c r="B6" t="str">
        <x:v>Assumption</x:v>
      </x:c>
      <x:c r="C6" t="str">
        <x:v>Risk / vendor</x:v>
      </x:c>
      <x:c r="D6" t="str">
        <x:v>Vendor responses and legal reviews may be needed</x:v>
      </x:c>
      <x:c r="E6" t="str">
        <x:v>Establish dependency owners</x:v>
      </x:c>
    </x:row>
    <x:row r="7">
      <x:c r="A7" t="str">
        <x:v>Key assumptions</x:v>
      </x:c>
      <x:c r="B7" t="str">
        <x:v>Assumption</x:v>
      </x:c>
      <x:c r="C7" t="str">
        <x:v>All milestones</x:v>
      </x:c>
      <x:c r="D7" t="str">
        <x:v>Illustrative timeline assumes timely stakeholder availability</x:v>
      </x:c>
      <x:c r="E7" t="str">
        <x:v>Revise schedule if prerequisites fail</x:v>
      </x:c>
    </x:row>
    <x:row r="8">
      <x:c r="A8" t="str">
        <x:v>Implementation constraints</x:v>
      </x:c>
      <x:c r="B8" t="str">
        <x:v>Known historical case restriction</x:v>
      </x:c>
      <x:c r="C8" t="str">
        <x:v>Legal screening</x:v>
      </x:c>
      <x:c r="D8" t="str">
        <x:v>FTC court order must be evaluated for relevant uses</x:v>
      </x:c>
      <x:c r="E8" t="str">
        <x:v>Legal review before any use</x:v>
      </x:c>
    </x:row>
    <x:row r="9">
      <x:c r="A9" t="str">
        <x:v>Contingency planning</x:v>
      </x:c>
      <x:c r="B9" t="str">
        <x:v>Proposed</x:v>
      </x:c>
      <x:c r="C9" t="str">
        <x:v>All phases</x:v>
      </x:c>
      <x:c r="D9" t="str">
        <x:v>Delayed milestones remain open</x:v>
      </x:c>
      <x:c r="E9" t="str">
        <x:v>Escalate, rescope, and reapprove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52" hidden="0" customWidth="1"/>
    <x:col min="3" max="3" width="17" hidden="0" customWidth="1"/>
    <x:col min="4" max="4" width="31" hidden="0" customWidth="1"/>
    <x:col min="5" max="5" width="52" hidden="0" customWidth="1"/>
    <x:col min="6" max="6" width="68" hidden="0" customWidth="1"/>
    <x:col min="7" max="7" width="43" hidden="0" customWidth="1"/>
  </x:cols>
  <x:sheetData>
    <x:row r="1" ht="30" customHeight="1">
      <x:c r="A1" s="4" t="str">
        <x:v>Task ID</x:v>
      </x:c>
      <x:c r="B1" s="4" t="str">
        <x:v>Roadmap activity</x:v>
      </x:c>
      <x:c r="C1" s="4" t="str">
        <x:v>Function</x:v>
      </x:c>
      <x:c r="D1" s="4" t="str">
        <x:v>Verified category / subcategory</x:v>
      </x:c>
      <x:c r="E1" s="4" t="str">
        <x:v>Alignment rationale</x:v>
      </x:c>
      <x:c r="F1" s="4" t="str">
        <x:v>Official source</x:v>
      </x:c>
      <x:c r="G1" s="4" t="str">
        <x:v>Limitation</x:v>
      </x:c>
    </x:row>
    <x:row r="2">
      <x:c r="A2" t="str">
        <x:v>T-01</x:v>
      </x:c>
      <x:c r="B2" t="str">
        <x:v>Document legal-use restrictions and urgent safeguards</x:v>
      </x:c>
      <x:c r="C2" t="str">
        <x:v>GOVERN</x:v>
      </x:c>
      <x:c r="D2" t="str">
        <x:v>GOVERN 1.1</x:v>
      </x:c>
      <x:c r="E2" t="str">
        <x:v>Governance policy and legal requirements</x:v>
      </x:c>
      <x:c r="F2" t="str">
        <x:v>https://airc.nist.gov/airmf-resources/airmf/5-sec-core/</x:v>
      </x:c>
      <x:c r="G2" t="str">
        <x:v>Proposed mapping — not certification</x:v>
      </x:c>
    </x:row>
    <x:row r="3">
      <x:c r="A3" t="str">
        <x:v>T-02</x:v>
      </x:c>
      <x:c r="B3" t="str">
        <x:v>Propose executive sponsor and AI governance committee charter adoption</x:v>
      </x:c>
      <x:c r="C3" t="str">
        <x:v>GOVERN</x:v>
      </x:c>
      <x:c r="D3" t="str">
        <x:v>GOVERN 1.1</x:v>
      </x:c>
      <x:c r="E3" t="str">
        <x:v>Governance policy and legal requirements</x:v>
      </x:c>
      <x:c r="F3" t="str">
        <x:v>https://airc.nist.gov/airmf-resources/airmf/5-sec-core/</x:v>
      </x:c>
      <x:c r="G3" t="str">
        <x:v>Proposed mapping — not certification</x:v>
      </x:c>
    </x:row>
    <x:row r="4">
      <x:c r="A4" t="str">
        <x:v>T-03</x:v>
      </x:c>
      <x:c r="B4" t="str">
        <x:v>Assign governance roles and RACI decision rights</x:v>
      </x:c>
      <x:c r="C4" t="str">
        <x:v>GOVERN</x:v>
      </x:c>
      <x:c r="D4" t="str">
        <x:v>GOVERN 1.1</x:v>
      </x:c>
      <x:c r="E4" t="str">
        <x:v>Governance policy and legal requirements</x:v>
      </x:c>
      <x:c r="F4" t="str">
        <x:v>https://airc.nist.gov/airmf-resources/airmf/5-sec-core/</x:v>
      </x:c>
      <x:c r="G4" t="str">
        <x:v>Proposed mapping — not certification</x:v>
      </x:c>
    </x:row>
    <x:row r="5">
      <x:c r="A5" t="str">
        <x:v>T-04</x:v>
      </x:c>
      <x:c r="B5" t="str">
        <x:v>Establish policy exception and approval process</x:v>
      </x:c>
      <x:c r="C5" t="str">
        <x:v>GOVERN</x:v>
      </x:c>
      <x:c r="D5" t="str">
        <x:v>GOVERN 1.1</x:v>
      </x:c>
      <x:c r="E5" t="str">
        <x:v>Governance policy and legal requirements</x:v>
      </x:c>
      <x:c r="F5" t="str">
        <x:v>https://airc.nist.gov/airmf-resources/airmf/5-sec-core/</x:v>
      </x:c>
      <x:c r="G5" t="str">
        <x:v>Proposed mapping — not certification</x:v>
      </x:c>
    </x:row>
    <x:row r="6">
      <x:c r="A6" t="str">
        <x:v>T-05</x:v>
      </x:c>
      <x:c r="B6" t="str">
        <x:v>Define inventory scope and required fields</x:v>
      </x:c>
      <x:c r="C6" t="str">
        <x:v>MAP</x:v>
      </x:c>
      <x:c r="D6" t="str">
        <x:v>MAP 1.1</x:v>
      </x:c>
      <x:c r="E6" t="str">
        <x:v>Intended use, context and applicable restrictions</x:v>
      </x:c>
      <x:c r="F6" t="str">
        <x:v>https://airc.nist.gov/airmf-resources/airmf/5-sec-core/</x:v>
      </x:c>
      <x:c r="G6" t="str">
        <x:v>Proposed mapping — not certification</x:v>
      </x:c>
    </x:row>
    <x:row r="7">
      <x:c r="A7" t="str">
        <x:v>T-06</x:v>
      </x:c>
      <x:c r="B7" t="str">
        <x:v>Design intake request and legal-use screening</x:v>
      </x:c>
      <x:c r="C7" t="str">
        <x:v>MAP</x:v>
      </x:c>
      <x:c r="D7" t="str">
        <x:v>MAP 1.1</x:v>
      </x:c>
      <x:c r="E7" t="str">
        <x:v>Intended use, context and applicable restrictions</x:v>
      </x:c>
      <x:c r="F7" t="str">
        <x:v>https://airc.nist.gov/airmf-resources/airmf/5-sec-core/</x:v>
      </x:c>
      <x:c r="G7" t="str">
        <x:v>Proposed mapping — not certification</x:v>
      </x:c>
    </x:row>
    <x:row r="8">
      <x:c r="A8" t="str">
        <x:v>T-07</x:v>
      </x:c>
      <x:c r="B8" t="str">
        <x:v>Assign illustrative system and business owners</x:v>
      </x:c>
      <x:c r="C8" t="str">
        <x:v>MAP</x:v>
      </x:c>
      <x:c r="D8" t="str">
        <x:v>MAP 1.1</x:v>
      </x:c>
      <x:c r="E8" t="str">
        <x:v>Intended use, context and applicable restrictions</x:v>
      </x:c>
      <x:c r="F8" t="str">
        <x:v>https://airc.nist.gov/airmf-resources/airmf/5-sec-core/</x:v>
      </x:c>
      <x:c r="G8" t="str">
        <x:v>Proposed mapping — not certification</x:v>
      </x:c>
    </x:row>
    <x:row r="9">
      <x:c r="A9" t="str">
        <x:v>T-08</x:v>
      </x:c>
      <x:c r="B9" t="str">
        <x:v>Establish inventory change review cadence</x:v>
      </x:c>
      <x:c r="C9" t="str">
        <x:v>MAP</x:v>
      </x:c>
      <x:c r="D9" t="str">
        <x:v>MAP 1.1</x:v>
      </x:c>
      <x:c r="E9" t="str">
        <x:v>Intended use, context and applicable restrictions</x:v>
      </x:c>
      <x:c r="F9" t="str">
        <x:v>https://airc.nist.gov/airmf-resources/airmf/5-sec-core/</x:v>
      </x:c>
      <x:c r="G9" t="str">
        <x:v>Proposed mapping — not certification</x:v>
      </x:c>
    </x:row>
    <x:row r="10">
      <x:c r="A10" t="str">
        <x:v>T-09</x:v>
      </x:c>
      <x:c r="B10" t="str">
        <x:v>Implement proposed risk scoring guidance</x:v>
      </x:c>
      <x:c r="C10" t="str">
        <x:v>MEASURE</x:v>
      </x:c>
      <x:c r="D10" t="str">
        <x:v>MEASURE 1.1</x:v>
      </x:c>
      <x:c r="E10" t="str">
        <x:v>Methods for assessing risks and effectiveness</x:v>
      </x:c>
      <x:c r="F10" t="str">
        <x:v>https://airc.nist.gov/airmf-resources/airmf/5-sec-core/</x:v>
      </x:c>
      <x:c r="G10" t="str">
        <x:v>Proposed mapping — not certification</x:v>
      </x:c>
    </x:row>
    <x:row r="11">
      <x:c r="A11" t="str">
        <x:v>T-10</x:v>
      </x:c>
      <x:c r="B11" t="str">
        <x:v>Develop human impact and privacy assessment workflows</x:v>
      </x:c>
      <x:c r="C11" t="str">
        <x:v>MEASURE</x:v>
      </x:c>
      <x:c r="D11" t="str">
        <x:v>MEASURE 1.1</x:v>
      </x:c>
      <x:c r="E11" t="str">
        <x:v>Methods for assessing risks and effectiveness</x:v>
      </x:c>
      <x:c r="F11" t="str">
        <x:v>https://airc.nist.gov/airmf-resources/airmf/5-sec-core/</x:v>
      </x:c>
      <x:c r="G11" t="str">
        <x:v>Proposed mapping — not certification</x:v>
      </x:c>
    </x:row>
    <x:row r="12">
      <x:c r="A12" t="str">
        <x:v>T-11</x:v>
      </x:c>
      <x:c r="B12" t="str">
        <x:v>Define high-risk escalation and risk acceptance limits</x:v>
      </x:c>
      <x:c r="C12" t="str">
        <x:v>MEASURE</x:v>
      </x:c>
      <x:c r="D12" t="str">
        <x:v>MEASURE 1.1</x:v>
      </x:c>
      <x:c r="E12" t="str">
        <x:v>Methods for assessing risks and effectiveness</x:v>
      </x:c>
      <x:c r="F12" t="str">
        <x:v>https://airc.nist.gov/airmf-resources/airmf/5-sec-core/</x:v>
      </x:c>
      <x:c r="G12" t="str">
        <x:v>Proposed mapping — not certification</x:v>
      </x:c>
    </x:row>
    <x:row r="13">
      <x:c r="A13" t="str">
        <x:v>T-12</x:v>
      </x:c>
      <x:c r="B13" t="str">
        <x:v>Prepare risk treatment and re-assessment procedures</x:v>
      </x:c>
      <x:c r="C13" t="str">
        <x:v>MEASURE</x:v>
      </x:c>
      <x:c r="D13" t="str">
        <x:v>MEASURE 1.1</x:v>
      </x:c>
      <x:c r="E13" t="str">
        <x:v>Methods for assessing risks and effectiveness</x:v>
      </x:c>
      <x:c r="F13" t="str">
        <x:v>https://airc.nist.gov/airmf-resources/airmf/5-sec-core/</x:v>
      </x:c>
      <x:c r="G13" t="str">
        <x:v>Proposed mapping — not certification</x:v>
      </x:c>
    </x:row>
    <x:row r="14">
      <x:c r="A14" t="str">
        <x:v>T-13</x:v>
      </x:c>
      <x:c r="B14" t="str">
        <x:v>Establish vendor AI due-diligence checklist</x:v>
      </x:c>
      <x:c r="C14" t="str">
        <x:v>MANAGE</x:v>
      </x:c>
      <x:c r="D14" t="str">
        <x:v>MANAGE 1.2</x:v>
      </x:c>
      <x:c r="E14" t="str">
        <x:v>Prioritization and treatment of identified risk</x:v>
      </x:c>
      <x:c r="F14" t="str">
        <x:v>https://airc.nist.gov/airmf-resources/airmf/5-sec-core/</x:v>
      </x:c>
      <x:c r="G14" t="str">
        <x:v>Proposed mapping — not certification</x:v>
      </x:c>
    </x:row>
    <x:row r="15">
      <x:c r="A15" t="str">
        <x:v>T-14</x:v>
      </x:c>
      <x:c r="B15" t="str">
        <x:v>Draft contract and privacy/security review requirements</x:v>
      </x:c>
      <x:c r="C15" t="str">
        <x:v>MANAGE</x:v>
      </x:c>
      <x:c r="D15" t="str">
        <x:v>MANAGE 1.2</x:v>
      </x:c>
      <x:c r="E15" t="str">
        <x:v>Prioritization and treatment of identified risk</x:v>
      </x:c>
      <x:c r="F15" t="str">
        <x:v>https://airc.nist.gov/airmf-resources/airmf/5-sec-core/</x:v>
      </x:c>
      <x:c r="G15" t="str">
        <x:v>Proposed mapping — not certification</x:v>
      </x:c>
    </x:row>
    <x:row r="16">
      <x:c r="A16" t="str">
        <x:v>T-15</x:v>
      </x:c>
      <x:c r="B16" t="str">
        <x:v>Define third-party incident communication process</x:v>
      </x:c>
      <x:c r="C16" t="str">
        <x:v>MANAGE</x:v>
      </x:c>
      <x:c r="D16" t="str">
        <x:v>MANAGE 1.2</x:v>
      </x:c>
      <x:c r="E16" t="str">
        <x:v>Prioritization and treatment of identified risk</x:v>
      </x:c>
      <x:c r="F16" t="str">
        <x:v>https://airc.nist.gov/airmf-resources/airmf/5-sec-core/</x:v>
      </x:c>
      <x:c r="G16" t="str">
        <x:v>Proposed mapping — not certification</x:v>
      </x:c>
    </x:row>
    <x:row r="17">
      <x:c r="A17" t="str">
        <x:v>T-16</x:v>
      </x:c>
      <x:c r="B17" t="str">
        <x:v>Set vendor reassessment and exit requirements</x:v>
      </x:c>
      <x:c r="C17" t="str">
        <x:v>MANAGE</x:v>
      </x:c>
      <x:c r="D17" t="str">
        <x:v>MANAGE 1.2</x:v>
      </x:c>
      <x:c r="E17" t="str">
        <x:v>Prioritization and treatment of identified risk</x:v>
      </x:c>
      <x:c r="F17" t="str">
        <x:v>https://airc.nist.gov/airmf-resources/airmf/5-sec-core/</x:v>
      </x:c>
      <x:c r="G17" t="str">
        <x:v>Proposed mapping — not certification</x:v>
      </x:c>
    </x:row>
    <x:row r="18">
      <x:c r="A18" t="str">
        <x:v>T-17</x:v>
      </x:c>
      <x:c r="B18" t="str">
        <x:v>Assign control owners and applicability decisions</x:v>
      </x:c>
      <x:c r="C18" t="str">
        <x:v>MANAGE</x:v>
      </x:c>
      <x:c r="D18" t="str">
        <x:v>MANAGE 1.2</x:v>
      </x:c>
      <x:c r="E18" t="str">
        <x:v>Prioritization and treatment of identified risk</x:v>
      </x:c>
      <x:c r="F18" t="str">
        <x:v>https://airc.nist.gov/airmf-resources/airmf/5-sec-core/</x:v>
      </x:c>
      <x:c r="G18" t="str">
        <x:v>Proposed mapping — not certification</x:v>
      </x:c>
    </x:row>
    <x:row r="19">
      <x:c r="A19" t="str">
        <x:v>T-18</x:v>
      </x:c>
      <x:c r="B19" t="str">
        <x:v>Specify human review and override safeguards</x:v>
      </x:c>
      <x:c r="C19" t="str">
        <x:v>MANAGE</x:v>
      </x:c>
      <x:c r="D19" t="str">
        <x:v>MANAGE 1.2</x:v>
      </x:c>
      <x:c r="E19" t="str">
        <x:v>Prioritization and treatment of identified risk</x:v>
      </x:c>
      <x:c r="F19" t="str">
        <x:v>https://airc.nist.gov/airmf-resources/airmf/5-sec-core/</x:v>
      </x:c>
      <x:c r="G19" t="str">
        <x:v>Proposed mapping — not certification</x:v>
      </x:c>
    </x:row>
    <x:row r="20">
      <x:c r="A20" t="str">
        <x:v>T-19</x:v>
      </x:c>
      <x:c r="B20" t="str">
        <x:v>Define technical control test procedures</x:v>
      </x:c>
      <x:c r="C20" t="str">
        <x:v>MANAGE</x:v>
      </x:c>
      <x:c r="D20" t="str">
        <x:v>MANAGE 1.2</x:v>
      </x:c>
      <x:c r="E20" t="str">
        <x:v>Prioritization and treatment of identified risk</x:v>
      </x:c>
      <x:c r="F20" t="str">
        <x:v>https://airc.nist.gov/airmf-resources/airmf/5-sec-core/</x:v>
      </x:c>
      <x:c r="G20" t="str">
        <x:v>Proposed mapping — not certification</x:v>
      </x:c>
    </x:row>
    <x:row r="21">
      <x:c r="A21" t="str">
        <x:v>T-20</x:v>
      </x:c>
      <x:c r="B21" t="str">
        <x:v>Set system-specific predeployment authorization gate</x:v>
      </x:c>
      <x:c r="C21" t="str">
        <x:v>MANAGE</x:v>
      </x:c>
      <x:c r="D21" t="str">
        <x:v>MANAGE 1.2</x:v>
      </x:c>
      <x:c r="E21" t="str">
        <x:v>Prioritization and treatment of identified risk</x:v>
      </x:c>
      <x:c r="F21" t="str">
        <x:v>https://airc.nist.gov/airmf-resources/airmf/5-sec-core/</x:v>
      </x:c>
      <x:c r="G21" t="str">
        <x:v>Proposed mapping — not certification</x:v>
      </x:c>
    </x:row>
    <x:row r="22">
      <x:c r="A22" t="str">
        <x:v>T-21</x:v>
      </x:c>
      <x:c r="B22" t="str">
        <x:v>Design monitoring categories and review schedule</x:v>
      </x:c>
      <x:c r="C22" t="str">
        <x:v>MANAGE</x:v>
      </x:c>
      <x:c r="D22" t="str">
        <x:v>MANAGE 1.2</x:v>
      </x:c>
      <x:c r="E22" t="str">
        <x:v>Prioritization and treatment of identified risk</x:v>
      </x:c>
      <x:c r="F22" t="str">
        <x:v>https://airc.nist.gov/airmf-resources/airmf/5-sec-core/</x:v>
      </x:c>
      <x:c r="G22" t="str">
        <x:v>Proposed mapping — not certification</x:v>
      </x:c>
    </x:row>
    <x:row r="23">
      <x:c r="A23" t="str">
        <x:v>T-22</x:v>
      </x:c>
      <x:c r="B23" t="str">
        <x:v>Document alert classification and response targets</x:v>
      </x:c>
      <x:c r="C23" t="str">
        <x:v>MANAGE</x:v>
      </x:c>
      <x:c r="D23" t="str">
        <x:v>MANAGE 1.2</x:v>
      </x:c>
      <x:c r="E23" t="str">
        <x:v>Prioritization and treatment of identified risk</x:v>
      </x:c>
      <x:c r="F23" t="str">
        <x:v>https://airc.nist.gov/airmf-resources/airmf/5-sec-core/</x:v>
      </x:c>
      <x:c r="G23" t="str">
        <x:v>Proposed mapping — not certification</x:v>
      </x:c>
    </x:row>
    <x:row r="24">
      <x:c r="A24" t="str">
        <x:v>T-23</x:v>
      </x:c>
      <x:c r="B24" t="str">
        <x:v>Prepare incident records, evidence handling and escalation</x:v>
      </x:c>
      <x:c r="C24" t="str">
        <x:v>MANAGE</x:v>
      </x:c>
      <x:c r="D24" t="str">
        <x:v>MANAGE 1.2</x:v>
      </x:c>
      <x:c r="E24" t="str">
        <x:v>Prioritization and treatment of identified risk</x:v>
      </x:c>
      <x:c r="F24" t="str">
        <x:v>https://airc.nist.gov/airmf-resources/airmf/5-sec-core/</x:v>
      </x:c>
      <x:c r="G24" t="str">
        <x:v>Proposed mapping — not certification</x:v>
      </x:c>
    </x:row>
    <x:row r="25">
      <x:c r="A25" t="str">
        <x:v>T-24</x:v>
      </x:c>
      <x:c r="B25" t="str">
        <x:v>Prepare fictional tabletop exercise and evaluation form</x:v>
      </x:c>
      <x:c r="C25" t="str">
        <x:v>MANAGE</x:v>
      </x:c>
      <x:c r="D25" t="str">
        <x:v>MANAGE 1.2</x:v>
      </x:c>
      <x:c r="E25" t="str">
        <x:v>Prioritization and treatment of identified risk</x:v>
      </x:c>
      <x:c r="F25" t="str">
        <x:v>https://airc.nist.gov/airmf-resources/airmf/5-sec-core/</x:v>
      </x:c>
      <x:c r="G25" t="str">
        <x:v>Proposed mapping — not certification</x:v>
      </x:c>
    </x:row>
    <x:row r="26">
      <x:c r="A26" t="str">
        <x:v>T-25</x:v>
      </x:c>
      <x:c r="B26" t="str">
        <x:v>Establish evidence repository requirements</x:v>
      </x:c>
      <x:c r="C26" t="str">
        <x:v>MEASURE</x:v>
      </x:c>
      <x:c r="D26" t="str">
        <x:v>MEASURE 1.1</x:v>
      </x:c>
      <x:c r="E26" t="str">
        <x:v>Methods for assessing risks and effectiveness</x:v>
      </x:c>
      <x:c r="F26" t="str">
        <x:v>https://airc.nist.gov/airmf-resources/airmf/5-sec-core/</x:v>
      </x:c>
      <x:c r="G26" t="str">
        <x:v>Proposed mapping — not certification</x:v>
      </x:c>
    </x:row>
    <x:row r="27">
      <x:c r="A27" t="str">
        <x:v>T-26</x:v>
      </x:c>
      <x:c r="B27" t="str">
        <x:v>Define GRC independent verification workflow</x:v>
      </x:c>
      <x:c r="C27" t="str">
        <x:v>MEASURE</x:v>
      </x:c>
      <x:c r="D27" t="str">
        <x:v>MEASURE 1.1</x:v>
      </x:c>
      <x:c r="E27" t="str">
        <x:v>Methods for assessing risks and effectiveness</x:v>
      </x:c>
      <x:c r="F27" t="str">
        <x:v>https://airc.nist.gov/airmf-resources/airmf/5-sec-core/</x:v>
      </x:c>
      <x:c r="G27" t="str">
        <x:v>Proposed mapping — not certification</x:v>
      </x:c>
    </x:row>
    <x:row r="28">
      <x:c r="A28" t="str">
        <x:v>T-27</x:v>
      </x:c>
      <x:c r="B28" t="str">
        <x:v>Create three milestone gate evidence packets</x:v>
      </x:c>
      <x:c r="C28" t="str">
        <x:v>MEASURE</x:v>
      </x:c>
      <x:c r="D28" t="str">
        <x:v>MEASURE 1.1</x:v>
      </x:c>
      <x:c r="E28" t="str">
        <x:v>Methods for assessing risks and effectiveness</x:v>
      </x:c>
      <x:c r="F28" t="str">
        <x:v>https://airc.nist.gov/airmf-resources/airmf/5-sec-core/</x:v>
      </x:c>
      <x:c r="G28" t="str">
        <x:v>Proposed mapping — not certification</x:v>
      </x:c>
    </x:row>
    <x:row r="29">
      <x:c r="A29" t="str">
        <x:v>T-28</x:v>
      </x:c>
      <x:c r="B29" t="str">
        <x:v>Define validation, audit, and remediation follow-up</x:v>
      </x:c>
      <x:c r="C29" t="str">
        <x:v>MEASURE</x:v>
      </x:c>
      <x:c r="D29" t="str">
        <x:v>MEASURE 1.1</x:v>
      </x:c>
      <x:c r="E29" t="str">
        <x:v>Methods for assessing risks and effectiveness</x:v>
      </x:c>
      <x:c r="F29" t="str">
        <x:v>https://airc.nist.gov/airmf-resources/airmf/5-sec-core/</x:v>
      </x:c>
      <x:c r="G29" t="str">
        <x:v>Proposed mapping — not certification</x:v>
      </x:c>
    </x:row>
    <x:row r="30">
      <x:c r="A30" t="str">
        <x:v>T-29</x:v>
      </x:c>
      <x:c r="B30" t="str">
        <x:v>Design nine-metric implementation dashboard</x:v>
      </x:c>
      <x:c r="C30" t="str">
        <x:v>GOVERN</x:v>
      </x:c>
      <x:c r="D30" t="str">
        <x:v>GOVERN 1.1</x:v>
      </x:c>
      <x:c r="E30" t="str">
        <x:v>Governance policy and legal requirements</x:v>
      </x:c>
      <x:c r="F30" t="str">
        <x:v>https://airc.nist.gov/airmf-resources/airmf/5-sec-core/</x:v>
      </x:c>
      <x:c r="G30" t="str">
        <x:v>Proposed mapping — not certification</x:v>
      </x:c>
    </x:row>
    <x:row r="31">
      <x:c r="A31" t="str">
        <x:v>T-30</x:v>
      </x:c>
      <x:c r="B31" t="str">
        <x:v>Establish weekly reporting and controlled change log</x:v>
      </x:c>
      <x:c r="C31" t="str">
        <x:v>GOVERN</x:v>
      </x:c>
      <x:c r="D31" t="str">
        <x:v>GOVERN 1.1</x:v>
      </x:c>
      <x:c r="E31" t="str">
        <x:v>Governance policy and legal requirements</x:v>
      </x:c>
      <x:c r="F31" t="str">
        <x:v>https://airc.nist.gov/airmf-resources/airmf/5-sec-core/</x:v>
      </x:c>
      <x:c r="G31" t="str">
        <x:v>Proposed mapping — not certification</x:v>
      </x:c>
    </x:row>
    <x:row r="32">
      <x:c r="A32" t="str">
        <x:v>T-31</x:v>
      </x:c>
      <x:c r="B32" t="str">
        <x:v>Prepare Day 90 operational handoff checklist</x:v>
      </x:c>
      <x:c r="C32" t="str">
        <x:v>GOVERN</x:v>
      </x:c>
      <x:c r="D32" t="str">
        <x:v>GOVERN 1.1</x:v>
      </x:c>
      <x:c r="E32" t="str">
        <x:v>Governance policy and legal requirements</x:v>
      </x:c>
      <x:c r="F32" t="str">
        <x:v>https://airc.nist.gov/airmf-resources/airmf/5-sec-core/</x:v>
      </x:c>
      <x:c r="G32" t="str">
        <x:v>Proposed mapping — not certification</x:v>
      </x:c>
    </x:row>
    <x:row r="33">
      <x:c r="A33" t="str">
        <x:v>T-32</x:v>
      </x:c>
      <x:c r="B33" t="str">
        <x:v>Define ongoing committee reporting and improvement backlog</x:v>
      </x:c>
      <x:c r="C33" t="str">
        <x:v>GOVERN</x:v>
      </x:c>
      <x:c r="D33" t="str">
        <x:v>GOVERN 1.1</x:v>
      </x:c>
      <x:c r="E33" t="str">
        <x:v>Governance policy and legal requirements</x:v>
      </x:c>
      <x:c r="F33" t="str">
        <x:v>https://airc.nist.gov/airmf-resources/airmf/5-sec-core/</x:v>
      </x:c>
      <x:c r="G33" t="str">
        <x:v>Proposed mapping — not certification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54" hidden="0" customWidth="1"/>
    <x:col min="3" max="3" width="32" hidden="0" customWidth="1"/>
    <x:col min="4" max="4" width="20" hidden="0" customWidth="1"/>
  </x:cols>
  <x:sheetData>
    <x:row r="1" ht="30" customHeight="1">
      <x:c r="A1" s="4" t="str">
        <x:v>Responsibility</x:v>
      </x:c>
      <x:c r="B1" s="4" t="str">
        <x:v>Required handoff evidence</x:v>
      </x:c>
      <x:c r="C1" s="4" t="str">
        <x:v>Owner acceptance reference</x:v>
      </x:c>
      <x:c r="D1" s="4" t="str">
        <x:v>Status</x:v>
      </x:c>
    </x:row>
    <x:row r="2">
      <x:c r="A2" t="str">
        <x:v>Operational ownership</x:v>
      </x:c>
      <x:c r="B2" t="str">
        <x:v>Operational owner acceptance</x:v>
      </x:c>
      <x:c r="C2" t="str"/>
      <x:c r="D2" t="str">
        <x:v>Pending</x:v>
      </x:c>
    </x:row>
    <x:row r="3">
      <x:c r="A3" t="str">
        <x:v>Ongoing monitoring</x:v>
      </x:c>
      <x:c r="B3" t="str">
        <x:v>Monitoring schedule accepted</x:v>
      </x:c>
      <x:c r="C3" t="str"/>
      <x:c r="D3" t="str">
        <x:v>Pending</x:v>
      </x:c>
    </x:row>
    <x:row r="4">
      <x:c r="A4" t="str">
        <x:v>Risk register maintenance</x:v>
      </x:c>
      <x:c r="B4" t="str">
        <x:v>Assigned risk owners and update cadence</x:v>
      </x:c>
      <x:c r="C4" t="str"/>
      <x:c r="D4" t="str">
        <x:v>Pending</x:v>
      </x:c>
    </x:row>
    <x:row r="5">
      <x:c r="A5" t="str">
        <x:v>Third-party oversight</x:v>
      </x:c>
      <x:c r="B5" t="str">
        <x:v>Vendor review schedule and owners</x:v>
      </x:c>
      <x:c r="C5" t="str"/>
      <x:c r="D5" t="str">
        <x:v>Pending</x:v>
      </x:c>
    </x:row>
    <x:row r="6">
      <x:c r="A6" t="str">
        <x:v>Incident readiness</x:v>
      </x:c>
      <x:c r="B6" t="str">
        <x:v>Procedures, contacts and exercise plan</x:v>
      </x:c>
      <x:c r="C6" t="str"/>
      <x:c r="D6" t="str">
        <x:v>Pending</x:v>
      </x:c>
    </x:row>
    <x:row r="7">
      <x:c r="A7" t="str">
        <x:v>Governance reporting</x:v>
      </x:c>
      <x:c r="B7" t="str">
        <x:v>Committee reporting calendar</x:v>
      </x:c>
      <x:c r="C7" t="str"/>
      <x:c r="D7" t="str">
        <x:v>Pending</x:v>
      </x:c>
    </x:row>
    <x:row r="8">
      <x:c r="A8" t="str">
        <x:v>Improvement backlog</x:v>
      </x:c>
      <x:c r="B8" t="str">
        <x:v>Remediation owners and tracking</x:v>
      </x:c>
      <x:c r="C8" t="str"/>
      <x:c r="D8" t="str">
        <x:v>Pending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05" hidden="0" customWidth="1"/>
  </x:cols>
  <x:sheetData>
    <x:row r="1" ht="30" customHeight="1">
      <x:c r="A1" s="4" t="str">
        <x:v>Reference / rule</x:v>
      </x:c>
      <x:c r="B1" s="4" t="str">
        <x:v>Source or instruction</x:v>
      </x:c>
    </x:row>
    <x:row r="2">
      <x:c r="A2" t="str">
        <x:v>Project classification</x:v>
      </x:c>
      <x:c r="B2" t="str">
        <x:v>Independent historical educational simulation; no Rite Aid affiliation or actual deployment</x:v>
      </x:c>
    </x:row>
    <x:row r="3">
      <x:c r="A3" t="str">
        <x:v>NIST official core</x:v>
      </x:c>
      <x:c r="B3" t="str">
        <x:v>https://airc.nist.gov/airmf-resources/airmf/5-sec-core/</x:v>
      </x:c>
    </x:row>
    <x:row r="4">
      <x:c r="A4" t="str">
        <x:v>NIST AI RMF 1.0 PDF</x:v>
      </x:c>
      <x:c r="B4" t="str">
        <x:v>https://nvlpubs.nist.gov/nistpubs/ai/NIST.AI.100-1.pdf</x:v>
      </x:c>
    </x:row>
    <x:row r="5">
      <x:c r="A5" t="str">
        <x:v>FTC historical case</x:v>
      </x:c>
      <x:c r="B5" t="str">
        <x:v>https://search.ftc.gov/legal-library/browse/cases-proceedings/2023190-rite-aid-corporation-ftc-v</x:v>
      </x:c>
    </x:row>
    <x:row r="6">
      <x:c r="A6" t="str">
        <x:v>FTC December 2023 release</x:v>
      </x:c>
      <x:c r="B6" t="str">
        <x:v>https://www.ftc.gov/news-events/news/press-releases/2023/12/rite-aid-banned-using-ai-facial-recognition-after-ftc-says-retailer-deployed-technology-without</x:v>
      </x:c>
    </x:row>
    <x:row r="7">
      <x:c r="A7" t="str">
        <x:v>Mapping restraint</x:v>
      </x:c>
      <x:c r="B7" t="str">
        <x:v>NIST GOVERN 1.1, MAP 1.1, MEASURE 1.1 and MANAGE 1.2 verified against NIST Core</x:v>
      </x:c>
    </x:row>
    <x:row r="8">
      <x:c r="A8" t="str">
        <x:v>Approval distinction</x:v>
      </x:c>
      <x:c r="B8" t="str">
        <x:v>Workbook QA and formulas cannot substitute for committee approvals</x:v>
      </x:c>
    </x:row>
    <x:row r="9">
      <x:c r="A9" t="str">
        <x:v>Usage</x:v>
      </x:c>
      <x:c r="B9" t="str">
        <x:v>Enter records only when supportable; preserve histories; do not enter invented metrics</x:v>
      </x:c>
    </x:row>
    <x:row r="10">
      <x:c r="A10" t="str">
        <x:v>Status</x:v>
      </x:c>
      <x:c r="B10" t="str">
        <x:v>Draft — Awaiting Review</x:v>
      </x:c>
    </x:row>
  </x:sheetData>
  <x:pageMargins left="0.7" right="0.7" top="0.75" bottom="0.75" header="0.3" footer="0.3"/>
</x:worksheet>
</file>
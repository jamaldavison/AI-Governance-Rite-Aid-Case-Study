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fc506bf97f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89a9d93fa3314df0"/>
    <x:sheet xmlns:r="http://schemas.openxmlformats.org/officeDocument/2006/relationships" name="Control Register" sheetId="2" r:id="Rb786a142510848d7"/>
    <x:sheet xmlns:r="http://schemas.openxmlformats.org/officeDocument/2006/relationships" name="Planned Test Matrix" sheetId="3" r:id="Rf6e9127946fa4020"/>
    <x:sheet xmlns:r="http://schemas.openxmlformats.org/officeDocument/2006/relationships" name="Test History" sheetId="4" r:id="R1671b927d1ea4aad"/>
    <x:sheet xmlns:r="http://schemas.openxmlformats.org/officeDocument/2006/relationships" name="Findings &amp; Remediation" sheetId="5" r:id="R0d1f6f01f5f54667"/>
    <x:sheet xmlns:r="http://schemas.openxmlformats.org/officeDocument/2006/relationships" name="Exceptions" sheetId="6" r:id="R6735e6e0041a4369"/>
    <x:sheet xmlns:r="http://schemas.openxmlformats.org/officeDocument/2006/relationships" name="Committee Reporting" sheetId="7" r:id="Reb82aebb35394cd3"/>
    <x:sheet xmlns:r="http://schemas.openxmlformats.org/officeDocument/2006/relationships" name="Rules &amp; Cadences" sheetId="8" r:id="R3d7ed3e99d44466e"/>
    <x:sheet xmlns:r="http://schemas.openxmlformats.org/officeDocument/2006/relationships" name="Dashboard" sheetId="9" r:id="R70a587dd5ebe4f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451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4d7bdf0264407" /><Relationship Type="http://schemas.openxmlformats.org/officeDocument/2006/relationships/theme" Target="/xl/theme/theme1.xml" Id="Rfb38059bfb8b49d6" /><Relationship Type="http://schemas.openxmlformats.org/officeDocument/2006/relationships/sharedStrings" Target="/xl/sharedStrings.xml" Id="R8655e408252a43ec" /><Relationship Type="http://schemas.openxmlformats.org/officeDocument/2006/relationships/worksheet" Target="/xl/worksheets/sheet1.xml" Id="R89a9d93fa3314df0" /><Relationship Type="http://schemas.openxmlformats.org/officeDocument/2006/relationships/worksheet" Target="/xl/worksheets/sheet2.xml" Id="Rb786a142510848d7" /><Relationship Type="http://schemas.openxmlformats.org/officeDocument/2006/relationships/worksheet" Target="/xl/worksheets/sheet3.xml" Id="Rf6e9127946fa4020" /><Relationship Type="http://schemas.openxmlformats.org/officeDocument/2006/relationships/worksheet" Target="/xl/worksheets/sheet4.xml" Id="R1671b927d1ea4aad" /><Relationship Type="http://schemas.openxmlformats.org/officeDocument/2006/relationships/worksheet" Target="/xl/worksheets/sheet5.xml" Id="R0d1f6f01f5f54667" /><Relationship Type="http://schemas.openxmlformats.org/officeDocument/2006/relationships/worksheet" Target="/xl/worksheets/sheet6.xml" Id="R6735e6e0041a4369" /><Relationship Type="http://schemas.openxmlformats.org/officeDocument/2006/relationships/worksheet" Target="/xl/worksheets/sheet7.xml" Id="Reb82aebb35394cd3" /><Relationship Type="http://schemas.openxmlformats.org/officeDocument/2006/relationships/worksheet" Target="/xl/worksheets/sheet8.xml" Id="R3d7ed3e99d44466e" /><Relationship Type="http://schemas.openxmlformats.org/officeDocument/2006/relationships/worksheet" Target="/xl/worksheets/sheet9.xml" Id="R70a587dd5ebe4f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00" hidden="0" customWidth="1"/>
  </x:cols>
  <x:sheetData>
    <x:row r="1" ht="30" customHeight="1">
      <x:c r="A1" s="4" t="str">
        <x:v>Topic</x:v>
      </x:c>
      <x:c r="B1" s="4" t="str">
        <x:v>Guidance</x:v>
      </x:c>
    </x:row>
    <x:row r="2" ht="31" customHeight="1">
      <x:c r="A2" s="8" t="str">
        <x:v>Portfolio</x:v>
      </x:c>
      <x:c r="B2" s="8" t="str">
        <x:v>Document 7B — AI Controls Testing Matrix V1</x:v>
      </x:c>
    </x:row>
    <x:row r="3" ht="31" customHeight="1">
      <x:c r="A3" s="8" t="str">
        <x:v>Status</x:v>
      </x:c>
      <x:c r="B3" s="8" t="str">
        <x:v>DRAFT — AWAITING AGENT FLAMEZ REVIEW</x:v>
      </x:c>
    </x:row>
    <x:row r="4" ht="31" customHeight="1">
      <x:c r="A4" s="8" t="str">
        <x:v>Use</x:v>
      </x:c>
      <x:c r="B4" s="8" t="str">
        <x:v>Educational historical Rite Aid case simulation; not an actual organizational control register</x:v>
      </x:c>
    </x:row>
    <x:row r="5" ht="31" customHeight="1">
      <x:c r="A5" s="8" t="str">
        <x:v>Five systems</x:v>
      </x:c>
      <x:c r="B5" s="8" t="str">
        <x:v>AI-001 facial recognition; AI-002 chatbot; AI-003 scheduling; AI-004 forecasting; AI-005 cyber monitoring</x:v>
      </x:c>
    </x:row>
    <x:row r="6" ht="31" customHeight="1">
      <x:c r="A6" s="8" t="str">
        <x:v>Illustrative status</x:v>
      </x:c>
      <x:c r="B6" s="8" t="str">
        <x:v>All examples Not Tested. No actual results, certifications, named personnel or executed approvals.</x:v>
      </x:c>
    </x:row>
    <x:row r="7" ht="31" customHeight="1">
      <x:c r="A7" s="8" t="str">
        <x:v>Source: NIST AI RMF</x:v>
      </x:c>
      <x:c r="B7" s="8" t="str">
        <x:v>https://nvlpubs.nist.gov/nistpubs/ai/NIST.AI.100-1.pdf</x:v>
      </x:c>
    </x:row>
    <x:row r="8" ht="31" customHeight="1">
      <x:c r="A8" s="8" t="str">
        <x:v>Source: FTC Rite Aid</x:v>
      </x:c>
      <x:c r="B8" s="8" t="str">
        <x:v>https://www.ftc.gov/legal-library/browse/cases-proceedings/2023190-rite-aid-corporation-ftc-v</x:v>
      </x:c>
    </x:row>
    <x:row r="9" ht="31" customHeight="1">
      <x:c r="A9" s="8" t="str">
        <x:v>Instructions</x:v>
      </x:c>
      <x:c r="B9" s="8" t="str">
        <x:v>Assign actual owners before organizational use; record each test execution in Test History and keep earlier rows.</x:v>
      </x:c>
    </x:row>
    <x:row r="10" ht="31" customHeight="1">
      <x:c r="A10" s="8" t="str">
        <x:v>Limitation</x:v>
      </x:c>
      <x:c r="B10" s="8" t="str">
        <x:v>Excel is a template: actual role-based permissions and tamper-resistant audit logs require external systems.</x:v>
      </x:c>
    </x:row>
    <x:row r="11" ht="31" customHeight="1">
      <x:c r="A11" s="8" t="str">
        <x:v>Important</x:v>
      </x:c>
      <x:c r="B11" s="8" t="str">
        <x:v>A Completed test can be Ineffective; no risk-reduction credit without tested effectiveness.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5" hidden="0" customWidth="1"/>
    <x:col min="3" max="3" width="24" hidden="0" customWidth="1"/>
    <x:col min="4" max="4" width="20" hidden="0" customWidth="1"/>
    <x:col min="5" max="5" width="28" hidden="0" customWidth="1"/>
    <x:col min="6" max="6" width="45" hidden="0" customWidth="1"/>
    <x:col min="7" max="7" width="23" hidden="0" customWidth="1"/>
    <x:col min="8" max="8" width="23" hidden="0" customWidth="1"/>
    <x:col min="9" max="9" width="23" hidden="0" customWidth="1"/>
    <x:col min="10" max="10" width="25" hidden="0" customWidth="1"/>
    <x:col min="11" max="11" width="19" hidden="0" customWidth="1"/>
    <x:col min="12" max="12" width="20" hidden="0" customWidth="1"/>
    <x:col min="13" max="13" width="17" hidden="0" customWidth="1"/>
    <x:col min="14" max="14" width="17" hidden="0" customWidth="1"/>
    <x:col min="15" max="15" width="37" hidden="0" customWidth="1"/>
    <x:col min="16" max="16" width="28" hidden="0" customWidth="1"/>
  </x:cols>
  <x:sheetData>
    <x:row r="1" ht="30" customHeight="1">
      <x:c r="A1" s="4" t="str">
        <x:v>Control ID</x:v>
      </x:c>
      <x:c r="B1" s="4" t="str">
        <x:v>AI System ID</x:v>
      </x:c>
      <x:c r="C1" s="4" t="str">
        <x:v>System</x:v>
      </x:c>
      <x:c r="D1" s="4" t="str">
        <x:v>Risk (illustrative)</x:v>
      </x:c>
      <x:c r="E1" s="4" t="str">
        <x:v>Category</x:v>
      </x:c>
      <x:c r="F1" s="4" t="str">
        <x:v>Control objective</x:v>
      </x:c>
      <x:c r="G1" s="4" t="str">
        <x:v>Control Owner</x:v>
      </x:c>
      <x:c r="H1" s="4" t="str">
        <x:v>Business Owner</x:v>
      </x:c>
      <x:c r="I1" s="4" t="str">
        <x:v>Technical Owner</x:v>
      </x:c>
      <x:c r="J1" s="4" t="str">
        <x:v>Applicability</x:v>
      </x:c>
      <x:c r="K1" s="4" t="str">
        <x:v>Effectiveness</x:v>
      </x:c>
      <x:c r="L1" s="4" t="str">
        <x:v>Test lifecycle</x:v>
      </x:c>
      <x:c r="M1" s="4" t="str">
        <x:v>Last test date</x:v>
      </x:c>
      <x:c r="N1" s="4" t="str">
        <x:v>Next test date</x:v>
      </x:c>
      <x:c r="O1" s="4" t="str">
        <x:v>Evidence reference</x:v>
      </x:c>
      <x:c r="P1" s="4" t="str">
        <x:v>Exception reference</x:v>
      </x:c>
    </x:row>
    <x:row r="2" ht="31" customHeight="1">
      <x:c r="A2" s="8" t="str">
        <x:v>AI-001-CTRL-01</x:v>
      </x:c>
      <x:c r="B2" s="8" t="str">
        <x:v>AI-001</x:v>
      </x:c>
      <x:c r="C2" s="8" t="str">
        <x:v>Facial recognition</x:v>
      </x:c>
      <x:c r="D2" s="8" t="str">
        <x:v>Critical</x:v>
      </x:c>
      <x:c r="E2" s="8" t="str">
        <x:v>Data governance and privacy</x:v>
      </x:c>
      <x:c r="F2" s="8" t="str">
        <x:v>Restrict collection, retention and reuse of processed data</x:v>
      </x:c>
      <x:c r="G2" s="8" t="str">
        <x:v>Unassigned — example</x:v>
      </x:c>
      <x:c r="H2" s="8" t="str">
        <x:v>Unassigned — example</x:v>
      </x:c>
      <x:c r="I2" s="8" t="str">
        <x:v>Unassigned — example</x:v>
      </x:c>
      <x:c r="J2" s="8" t="str">
        <x:v>Applicable — to validate</x:v>
      </x:c>
      <x:c r="K2" s="8" t="str">
        <x:v>Not Tested</x:v>
      </x:c>
      <x:c r="L2" s="8" t="str">
        <x:v>Not Scheduled</x:v>
      </x:c>
      <x:c r="M2" s="8" t="str"/>
      <x:c r="N2" s="8" t="str"/>
      <x:c r="O2" s="8" t="str">
        <x:v>No operational evidence — illustrative</x:v>
      </x:c>
      <x:c r="P2" s="8" t="str">
        <x:v>No exceptions approved</x:v>
      </x:c>
    </x:row>
    <x:row r="3" ht="31" customHeight="1">
      <x:c r="A3" s="8" t="str">
        <x:v>AI-001-CTRL-02</x:v>
      </x:c>
      <x:c r="B3" s="8" t="str">
        <x:v>AI-001</x:v>
      </x:c>
      <x:c r="C3" s="8" t="str">
        <x:v>Facial recognition</x:v>
      </x:c>
      <x:c r="D3" s="8" t="str">
        <x:v>Critical</x:v>
      </x:c>
      <x:c r="E3" s="8" t="str">
        <x:v>Security and access control</x:v>
      </x:c>
      <x:c r="F3" s="8" t="str">
        <x:v>Enforce least-privilege access to system and logs</x:v>
      </x:c>
      <x:c r="G3" s="8" t="str">
        <x:v>Unassigned — example</x:v>
      </x:c>
      <x:c r="H3" s="8" t="str">
        <x:v>Unassigned — example</x:v>
      </x:c>
      <x:c r="I3" s="8" t="str">
        <x:v>Unassigned — example</x:v>
      </x:c>
      <x:c r="J3" s="8" t="str">
        <x:v>Applicable — to validate</x:v>
      </x:c>
      <x:c r="K3" s="8" t="str">
        <x:v>Not Tested</x:v>
      </x:c>
      <x:c r="L3" s="8" t="str">
        <x:v>Not Scheduled</x:v>
      </x:c>
      <x:c r="M3" s="8" t="str"/>
      <x:c r="N3" s="8" t="str"/>
      <x:c r="O3" s="8" t="str">
        <x:v>No operational evidence — illustrative</x:v>
      </x:c>
      <x:c r="P3" s="8" t="str">
        <x:v>No exceptions approved</x:v>
      </x:c>
    </x:row>
    <x:row r="4" ht="31" customHeight="1">
      <x:c r="A4" s="8" t="str">
        <x:v>AI-001-CTRL-03</x:v>
      </x:c>
      <x:c r="B4" s="8" t="str">
        <x:v>AI-001</x:v>
      </x:c>
      <x:c r="C4" s="8" t="str">
        <x:v>Facial recognition</x:v>
      </x:c>
      <x:c r="D4" s="8" t="str">
        <x:v>Critical</x:v>
      </x:c>
      <x:c r="E4" s="8" t="str">
        <x:v>Accuracy and reliability</x:v>
      </x:c>
      <x:c r="F4" s="8" t="str">
        <x:v>Validate system results against agreed performance criteria</x:v>
      </x:c>
      <x:c r="G4" s="8" t="str">
        <x:v>Unassigned — example</x:v>
      </x:c>
      <x:c r="H4" s="8" t="str">
        <x:v>Unassigned — example</x:v>
      </x:c>
      <x:c r="I4" s="8" t="str">
        <x:v>Unassigned — example</x:v>
      </x:c>
      <x:c r="J4" s="8" t="str">
        <x:v>Applicable — to validate</x:v>
      </x:c>
      <x:c r="K4" s="8" t="str">
        <x:v>Not Tested</x:v>
      </x:c>
      <x:c r="L4" s="8" t="str">
        <x:v>Not Scheduled</x:v>
      </x:c>
      <x:c r="M4" s="8" t="str"/>
      <x:c r="N4" s="8" t="str"/>
      <x:c r="O4" s="8" t="str">
        <x:v>No operational evidence — illustrative</x:v>
      </x:c>
      <x:c r="P4" s="8" t="str">
        <x:v>No exceptions approved</x:v>
      </x:c>
    </x:row>
    <x:row r="5" ht="31" customHeight="1">
      <x:c r="A5" s="8" t="str">
        <x:v>AI-001-CTRL-04</x:v>
      </x:c>
      <x:c r="B5" s="8" t="str">
        <x:v>AI-001</x:v>
      </x:c>
      <x:c r="C5" s="8" t="str">
        <x:v>Facial recognition</x:v>
      </x:c>
      <x:c r="D5" s="8" t="str">
        <x:v>Critical</x:v>
      </x:c>
      <x:c r="E5" s="8" t="str">
        <x:v>Fairness and human impact</x:v>
      </x:c>
      <x:c r="F5" s="8" t="str">
        <x:v>Assess material disparate or harmful impacts</x:v>
      </x:c>
      <x:c r="G5" s="8" t="str">
        <x:v>Unassigned — example</x:v>
      </x:c>
      <x:c r="H5" s="8" t="str">
        <x:v>Unassigned — example</x:v>
      </x:c>
      <x:c r="I5" s="8" t="str">
        <x:v>Unassigned — example</x:v>
      </x:c>
      <x:c r="J5" s="8" t="str">
        <x:v>Applicable — to validate</x:v>
      </x:c>
      <x:c r="K5" s="8" t="str">
        <x:v>Not Tested</x:v>
      </x:c>
      <x:c r="L5" s="8" t="str">
        <x:v>Not Scheduled</x:v>
      </x:c>
      <x:c r="M5" s="8" t="str"/>
      <x:c r="N5" s="8" t="str"/>
      <x:c r="O5" s="8" t="str">
        <x:v>No operational evidence — illustrative</x:v>
      </x:c>
      <x:c r="P5" s="8" t="str">
        <x:v>No exceptions approved</x:v>
      </x:c>
    </x:row>
    <x:row r="6" ht="31" customHeight="1">
      <x:c r="A6" s="8" t="str">
        <x:v>AI-001-CTRL-05</x:v>
      </x:c>
      <x:c r="B6" s="8" t="str">
        <x:v>AI-001</x:v>
      </x:c>
      <x:c r="C6" s="8" t="str">
        <x:v>Facial recognition</x:v>
      </x:c>
      <x:c r="D6" s="8" t="str">
        <x:v>Critical</x:v>
      </x:c>
      <x:c r="E6" s="8" t="str">
        <x:v>Human oversight and intervention</x:v>
      </x:c>
      <x:c r="F6" s="8" t="str">
        <x:v>Provide meaningful trained review, override and stop capabilities</x:v>
      </x:c>
      <x:c r="G6" s="8" t="str">
        <x:v>Unassigned — example</x:v>
      </x:c>
      <x:c r="H6" s="8" t="str">
        <x:v>Unassigned — example</x:v>
      </x:c>
      <x:c r="I6" s="8" t="str">
        <x:v>Unassigned — example</x:v>
      </x:c>
      <x:c r="J6" s="8" t="str">
        <x:v>Applicable — to validate</x:v>
      </x:c>
      <x:c r="K6" s="8" t="str">
        <x:v>Not Tested</x:v>
      </x:c>
      <x:c r="L6" s="8" t="str">
        <x:v>Not Scheduled</x:v>
      </x:c>
      <x:c r="M6" s="8" t="str"/>
      <x:c r="N6" s="8" t="str"/>
      <x:c r="O6" s="8" t="str">
        <x:v>No operational evidence — illustrative</x:v>
      </x:c>
      <x:c r="P6" s="8" t="str">
        <x:v>No exceptions approved</x:v>
      </x:c>
    </x:row>
    <x:row r="7" ht="31" customHeight="1">
      <x:c r="A7" s="8" t="str">
        <x:v>AI-001-CTRL-06</x:v>
      </x:c>
      <x:c r="B7" s="8" t="str">
        <x:v>AI-001</x:v>
      </x:c>
      <x:c r="C7" s="8" t="str">
        <x:v>Facial recognition</x:v>
      </x:c>
      <x:c r="D7" s="8" t="str">
        <x:v>Critical</x:v>
      </x:c>
      <x:c r="E7" s="8" t="str">
        <x:v>Transparency and documentation</x:v>
      </x:c>
      <x:c r="F7" s="8" t="str">
        <x:v>Maintain intended use, limitations and decision documentation</x:v>
      </x:c>
      <x:c r="G7" s="8" t="str">
        <x:v>Unassigned — example</x:v>
      </x:c>
      <x:c r="H7" s="8" t="str">
        <x:v>Unassigned — example</x:v>
      </x:c>
      <x:c r="I7" s="8" t="str">
        <x:v>Unassigned — example</x:v>
      </x:c>
      <x:c r="J7" s="8" t="str">
        <x:v>Applicable — to validate</x:v>
      </x:c>
      <x:c r="K7" s="8" t="str">
        <x:v>Not Tested</x:v>
      </x:c>
      <x:c r="L7" s="8" t="str">
        <x:v>Not Scheduled</x:v>
      </x:c>
      <x:c r="M7" s="8" t="str"/>
      <x:c r="N7" s="8" t="str"/>
      <x:c r="O7" s="8" t="str">
        <x:v>No operational evidence — illustrative</x:v>
      </x:c>
      <x:c r="P7" s="8" t="str">
        <x:v>No exceptions approved</x:v>
      </x:c>
    </x:row>
    <x:row r="8" ht="31" customHeight="1">
      <x:c r="A8" s="8" t="str">
        <x:v>AI-001-CTRL-07</x:v>
      </x:c>
      <x:c r="B8" s="8" t="str">
        <x:v>AI-001</x:v>
      </x:c>
      <x:c r="C8" s="8" t="str">
        <x:v>Facial recognition</x:v>
      </x:c>
      <x:c r="D8" s="8" t="str">
        <x:v>Critical</x:v>
      </x:c>
      <x:c r="E8" s="8" t="str">
        <x:v>Monitoring and change control</x:v>
      </x:c>
      <x:c r="F8" s="8" t="str">
        <x:v>Monitor behavior and reassess material modifications</x:v>
      </x:c>
      <x:c r="G8" s="8" t="str">
        <x:v>Unassigned — example</x:v>
      </x:c>
      <x:c r="H8" s="8" t="str">
        <x:v>Unassigned — example</x:v>
      </x:c>
      <x:c r="I8" s="8" t="str">
        <x:v>Unassigned — example</x:v>
      </x:c>
      <x:c r="J8" s="8" t="str">
        <x:v>Applicable — to validate</x:v>
      </x:c>
      <x:c r="K8" s="8" t="str">
        <x:v>Not Tested</x:v>
      </x:c>
      <x:c r="L8" s="8" t="str">
        <x:v>Not Scheduled</x:v>
      </x:c>
      <x:c r="M8" s="8" t="str"/>
      <x:c r="N8" s="8" t="str"/>
      <x:c r="O8" s="8" t="str">
        <x:v>No operational evidence — illustrative</x:v>
      </x:c>
      <x:c r="P8" s="8" t="str">
        <x:v>No exceptions approved</x:v>
      </x:c>
    </x:row>
    <x:row r="9" ht="31" customHeight="1">
      <x:c r="A9" s="8" t="str">
        <x:v>AI-001-CTRL-08</x:v>
      </x:c>
      <x:c r="B9" s="8" t="str">
        <x:v>AI-001</x:v>
      </x:c>
      <x:c r="C9" s="8" t="str">
        <x:v>Facial recognition</x:v>
      </x:c>
      <x:c r="D9" s="8" t="str">
        <x:v>Critical</x:v>
      </x:c>
      <x:c r="E9" s="8" t="str">
        <x:v>Incident response and recovery</x:v>
      </x:c>
      <x:c r="F9" s="8" t="str">
        <x:v>Contain harmful outcomes and approve restart</x:v>
      </x:c>
      <x:c r="G9" s="8" t="str">
        <x:v>Unassigned — example</x:v>
      </x:c>
      <x:c r="H9" s="8" t="str">
        <x:v>Unassigned — example</x:v>
      </x:c>
      <x:c r="I9" s="8" t="str">
        <x:v>Unassigned — example</x:v>
      </x:c>
      <x:c r="J9" s="8" t="str">
        <x:v>Applicable — to validate</x:v>
      </x:c>
      <x:c r="K9" s="8" t="str">
        <x:v>Not Tested</x:v>
      </x:c>
      <x:c r="L9" s="8" t="str">
        <x:v>Not Scheduled</x:v>
      </x:c>
      <x:c r="M9" s="8" t="str"/>
      <x:c r="N9" s="8" t="str"/>
      <x:c r="O9" s="8" t="str">
        <x:v>No operational evidence — illustrative</x:v>
      </x:c>
      <x:c r="P9" s="8" t="str">
        <x:v>No exceptions approved</x:v>
      </x:c>
    </x:row>
    <x:row r="10" ht="31" customHeight="1">
      <x:c r="A10" s="8" t="str">
        <x:v>AI-002-CTRL-01</x:v>
      </x:c>
      <x:c r="B10" s="8" t="str">
        <x:v>AI-002</x:v>
      </x:c>
      <x:c r="C10" s="8" t="str">
        <x:v>Customer service chatbot</x:v>
      </x:c>
      <x:c r="D10" s="8" t="str">
        <x:v>Moderate</x:v>
      </x:c>
      <x:c r="E10" s="8" t="str">
        <x:v>Data governance and privacy</x:v>
      </x:c>
      <x:c r="F10" s="8" t="str">
        <x:v>Restrict collection, retention and reuse of processed data</x:v>
      </x:c>
      <x:c r="G10" s="8" t="str">
        <x:v>Unassigned — example</x:v>
      </x:c>
      <x:c r="H10" s="8" t="str">
        <x:v>Unassigned — example</x:v>
      </x:c>
      <x:c r="I10" s="8" t="str">
        <x:v>Unassigned — example</x:v>
      </x:c>
      <x:c r="J10" s="8" t="str">
        <x:v>Applicable — to validate</x:v>
      </x:c>
      <x:c r="K10" s="8" t="str">
        <x:v>Not Tested</x:v>
      </x:c>
      <x:c r="L10" s="8" t="str">
        <x:v>Not Scheduled</x:v>
      </x:c>
      <x:c r="M10" s="8" t="str"/>
      <x:c r="N10" s="8" t="str"/>
      <x:c r="O10" s="8" t="str">
        <x:v>No operational evidence — illustrative</x:v>
      </x:c>
      <x:c r="P10" s="8" t="str">
        <x:v>No exceptions approved</x:v>
      </x:c>
    </x:row>
    <x:row r="11" ht="31" customHeight="1">
      <x:c r="A11" s="8" t="str">
        <x:v>AI-002-CTRL-02</x:v>
      </x:c>
      <x:c r="B11" s="8" t="str">
        <x:v>AI-002</x:v>
      </x:c>
      <x:c r="C11" s="8" t="str">
        <x:v>Customer service chatbot</x:v>
      </x:c>
      <x:c r="D11" s="8" t="str">
        <x:v>Moderate</x:v>
      </x:c>
      <x:c r="E11" s="8" t="str">
        <x:v>Security and access control</x:v>
      </x:c>
      <x:c r="F11" s="8" t="str">
        <x:v>Enforce least-privilege access to system and logs</x:v>
      </x:c>
      <x:c r="G11" s="8" t="str">
        <x:v>Unassigned — example</x:v>
      </x:c>
      <x:c r="H11" s="8" t="str">
        <x:v>Unassigned — example</x:v>
      </x:c>
      <x:c r="I11" s="8" t="str">
        <x:v>Unassigned — example</x:v>
      </x:c>
      <x:c r="J11" s="8" t="str">
        <x:v>Applicable — to validate</x:v>
      </x:c>
      <x:c r="K11" s="8" t="str">
        <x:v>Not Tested</x:v>
      </x:c>
      <x:c r="L11" s="8" t="str">
        <x:v>Not Scheduled</x:v>
      </x:c>
      <x:c r="M11" s="8" t="str"/>
      <x:c r="N11" s="8" t="str"/>
      <x:c r="O11" s="8" t="str">
        <x:v>No operational evidence — illustrative</x:v>
      </x:c>
      <x:c r="P11" s="8" t="str">
        <x:v>No exceptions approved</x:v>
      </x:c>
    </x:row>
    <x:row r="12" ht="31" customHeight="1">
      <x:c r="A12" s="8" t="str">
        <x:v>AI-002-CTRL-03</x:v>
      </x:c>
      <x:c r="B12" s="8" t="str">
        <x:v>AI-002</x:v>
      </x:c>
      <x:c r="C12" s="8" t="str">
        <x:v>Customer service chatbot</x:v>
      </x:c>
      <x:c r="D12" s="8" t="str">
        <x:v>Moderate</x:v>
      </x:c>
      <x:c r="E12" s="8" t="str">
        <x:v>Accuracy and reliability</x:v>
      </x:c>
      <x:c r="F12" s="8" t="str">
        <x:v>Validate system results against agreed performance criteria</x:v>
      </x:c>
      <x:c r="G12" s="8" t="str">
        <x:v>Unassigned — example</x:v>
      </x:c>
      <x:c r="H12" s="8" t="str">
        <x:v>Unassigned — example</x:v>
      </x:c>
      <x:c r="I12" s="8" t="str">
        <x:v>Unassigned — example</x:v>
      </x:c>
      <x:c r="J12" s="8" t="str">
        <x:v>Applicable — to validate</x:v>
      </x:c>
      <x:c r="K12" s="8" t="str">
        <x:v>Not Tested</x:v>
      </x:c>
      <x:c r="L12" s="8" t="str">
        <x:v>Not Scheduled</x:v>
      </x:c>
      <x:c r="M12" s="8" t="str"/>
      <x:c r="N12" s="8" t="str"/>
      <x:c r="O12" s="8" t="str">
        <x:v>No operational evidence — illustrative</x:v>
      </x:c>
      <x:c r="P12" s="8" t="str">
        <x:v>No exceptions approved</x:v>
      </x:c>
    </x:row>
    <x:row r="13" ht="31" customHeight="1">
      <x:c r="A13" s="8" t="str">
        <x:v>AI-002-CTRL-04</x:v>
      </x:c>
      <x:c r="B13" s="8" t="str">
        <x:v>AI-002</x:v>
      </x:c>
      <x:c r="C13" s="8" t="str">
        <x:v>Customer service chatbot</x:v>
      </x:c>
      <x:c r="D13" s="8" t="str">
        <x:v>Moderate</x:v>
      </x:c>
      <x:c r="E13" s="8" t="str">
        <x:v>Fairness and human impact</x:v>
      </x:c>
      <x:c r="F13" s="8" t="str">
        <x:v>Assess material disparate or harmful impacts</x:v>
      </x:c>
      <x:c r="G13" s="8" t="str">
        <x:v>Unassigned — example</x:v>
      </x:c>
      <x:c r="H13" s="8" t="str">
        <x:v>Unassigned — example</x:v>
      </x:c>
      <x:c r="I13" s="8" t="str">
        <x:v>Unassigned — example</x:v>
      </x:c>
      <x:c r="J13" s="8" t="str">
        <x:v>Applicable — to validate</x:v>
      </x:c>
      <x:c r="K13" s="8" t="str">
        <x:v>Not Tested</x:v>
      </x:c>
      <x:c r="L13" s="8" t="str">
        <x:v>Not Scheduled</x:v>
      </x:c>
      <x:c r="M13" s="8" t="str"/>
      <x:c r="N13" s="8" t="str"/>
      <x:c r="O13" s="8" t="str">
        <x:v>No operational evidence — illustrative</x:v>
      </x:c>
      <x:c r="P13" s="8" t="str">
        <x:v>No exceptions approved</x:v>
      </x:c>
    </x:row>
    <x:row r="14" ht="31" customHeight="1">
      <x:c r="A14" s="8" t="str">
        <x:v>AI-002-CTRL-05</x:v>
      </x:c>
      <x:c r="B14" s="8" t="str">
        <x:v>AI-002</x:v>
      </x:c>
      <x:c r="C14" s="8" t="str">
        <x:v>Customer service chatbot</x:v>
      </x:c>
      <x:c r="D14" s="8" t="str">
        <x:v>Moderate</x:v>
      </x:c>
      <x:c r="E14" s="8" t="str">
        <x:v>Human oversight and intervention</x:v>
      </x:c>
      <x:c r="F14" s="8" t="str">
        <x:v>Provide meaningful trained review, override and stop capabilities</x:v>
      </x:c>
      <x:c r="G14" s="8" t="str">
        <x:v>Unassigned — example</x:v>
      </x:c>
      <x:c r="H14" s="8" t="str">
        <x:v>Unassigned — example</x:v>
      </x:c>
      <x:c r="I14" s="8" t="str">
        <x:v>Unassigned — example</x:v>
      </x:c>
      <x:c r="J14" s="8" t="str">
        <x:v>Applicable — to validate</x:v>
      </x:c>
      <x:c r="K14" s="8" t="str">
        <x:v>Not Tested</x:v>
      </x:c>
      <x:c r="L14" s="8" t="str">
        <x:v>Not Scheduled</x:v>
      </x:c>
      <x:c r="M14" s="8" t="str"/>
      <x:c r="N14" s="8" t="str"/>
      <x:c r="O14" s="8" t="str">
        <x:v>No operational evidence — illustrative</x:v>
      </x:c>
      <x:c r="P14" s="8" t="str">
        <x:v>No exceptions approved</x:v>
      </x:c>
    </x:row>
    <x:row r="15" ht="31" customHeight="1">
      <x:c r="A15" s="8" t="str">
        <x:v>AI-002-CTRL-06</x:v>
      </x:c>
      <x:c r="B15" s="8" t="str">
        <x:v>AI-002</x:v>
      </x:c>
      <x:c r="C15" s="8" t="str">
        <x:v>Customer service chatbot</x:v>
      </x:c>
      <x:c r="D15" s="8" t="str">
        <x:v>Moderate</x:v>
      </x:c>
      <x:c r="E15" s="8" t="str">
        <x:v>Transparency and documentation</x:v>
      </x:c>
      <x:c r="F15" s="8" t="str">
        <x:v>Maintain intended use, limitations and decision documentation</x:v>
      </x:c>
      <x:c r="G15" s="8" t="str">
        <x:v>Unassigned — example</x:v>
      </x:c>
      <x:c r="H15" s="8" t="str">
        <x:v>Unassigned — example</x:v>
      </x:c>
      <x:c r="I15" s="8" t="str">
        <x:v>Unassigned — example</x:v>
      </x:c>
      <x:c r="J15" s="8" t="str">
        <x:v>Applicable — to validate</x:v>
      </x:c>
      <x:c r="K15" s="8" t="str">
        <x:v>Not Tested</x:v>
      </x:c>
      <x:c r="L15" s="8" t="str">
        <x:v>Not Scheduled</x:v>
      </x:c>
      <x:c r="M15" s="8" t="str"/>
      <x:c r="N15" s="8" t="str"/>
      <x:c r="O15" s="8" t="str">
        <x:v>No operational evidence — illustrative</x:v>
      </x:c>
      <x:c r="P15" s="8" t="str">
        <x:v>No exceptions approved</x:v>
      </x:c>
    </x:row>
    <x:row r="16" ht="31" customHeight="1">
      <x:c r="A16" s="8" t="str">
        <x:v>AI-002-CTRL-07</x:v>
      </x:c>
      <x:c r="B16" s="8" t="str">
        <x:v>AI-002</x:v>
      </x:c>
      <x:c r="C16" s="8" t="str">
        <x:v>Customer service chatbot</x:v>
      </x:c>
      <x:c r="D16" s="8" t="str">
        <x:v>Moderate</x:v>
      </x:c>
      <x:c r="E16" s="8" t="str">
        <x:v>Monitoring and change control</x:v>
      </x:c>
      <x:c r="F16" s="8" t="str">
        <x:v>Monitor behavior and reassess material modifications</x:v>
      </x:c>
      <x:c r="G16" s="8" t="str">
        <x:v>Unassigned — example</x:v>
      </x:c>
      <x:c r="H16" s="8" t="str">
        <x:v>Unassigned — example</x:v>
      </x:c>
      <x:c r="I16" s="8" t="str">
        <x:v>Unassigned — example</x:v>
      </x:c>
      <x:c r="J16" s="8" t="str">
        <x:v>Applicable — to validate</x:v>
      </x:c>
      <x:c r="K16" s="8" t="str">
        <x:v>Not Tested</x:v>
      </x:c>
      <x:c r="L16" s="8" t="str">
        <x:v>Not Scheduled</x:v>
      </x:c>
      <x:c r="M16" s="8" t="str"/>
      <x:c r="N16" s="8" t="str"/>
      <x:c r="O16" s="8" t="str">
        <x:v>No operational evidence — illustrative</x:v>
      </x:c>
      <x:c r="P16" s="8" t="str">
        <x:v>No exceptions approved</x:v>
      </x:c>
    </x:row>
    <x:row r="17" ht="31" customHeight="1">
      <x:c r="A17" s="8" t="str">
        <x:v>AI-002-CTRL-08</x:v>
      </x:c>
      <x:c r="B17" s="8" t="str">
        <x:v>AI-002</x:v>
      </x:c>
      <x:c r="C17" s="8" t="str">
        <x:v>Customer service chatbot</x:v>
      </x:c>
      <x:c r="D17" s="8" t="str">
        <x:v>Moderate</x:v>
      </x:c>
      <x:c r="E17" s="8" t="str">
        <x:v>Incident response and recovery</x:v>
      </x:c>
      <x:c r="F17" s="8" t="str">
        <x:v>Contain harmful outcomes and approve restart</x:v>
      </x:c>
      <x:c r="G17" s="8" t="str">
        <x:v>Unassigned — example</x:v>
      </x:c>
      <x:c r="H17" s="8" t="str">
        <x:v>Unassigned — example</x:v>
      </x:c>
      <x:c r="I17" s="8" t="str">
        <x:v>Unassigned — example</x:v>
      </x:c>
      <x:c r="J17" s="8" t="str">
        <x:v>Applicable — to validate</x:v>
      </x:c>
      <x:c r="K17" s="8" t="str">
        <x:v>Not Tested</x:v>
      </x:c>
      <x:c r="L17" s="8" t="str">
        <x:v>Not Scheduled</x:v>
      </x:c>
      <x:c r="M17" s="8" t="str"/>
      <x:c r="N17" s="8" t="str"/>
      <x:c r="O17" s="8" t="str">
        <x:v>No operational evidence — illustrative</x:v>
      </x:c>
      <x:c r="P17" s="8" t="str">
        <x:v>No exceptions approved</x:v>
      </x:c>
    </x:row>
    <x:row r="18" ht="31" customHeight="1">
      <x:c r="A18" s="8" t="str">
        <x:v>AI-003-CTRL-01</x:v>
      </x:c>
      <x:c r="B18" s="8" t="str">
        <x:v>AI-003</x:v>
      </x:c>
      <x:c r="C18" s="8" t="str">
        <x:v>Employee scheduling AI</x:v>
      </x:c>
      <x:c r="D18" s="8" t="str">
        <x:v>High</x:v>
      </x:c>
      <x:c r="E18" s="8" t="str">
        <x:v>Data governance and privacy</x:v>
      </x:c>
      <x:c r="F18" s="8" t="str">
        <x:v>Restrict collection, retention and reuse of processed data</x:v>
      </x:c>
      <x:c r="G18" s="8" t="str">
        <x:v>Unassigned — example</x:v>
      </x:c>
      <x:c r="H18" s="8" t="str">
        <x:v>Unassigned — example</x:v>
      </x:c>
      <x:c r="I18" s="8" t="str">
        <x:v>Unassigned — example</x:v>
      </x:c>
      <x:c r="J18" s="8" t="str">
        <x:v>Applicable — to validate</x:v>
      </x:c>
      <x:c r="K18" s="8" t="str">
        <x:v>Not Tested</x:v>
      </x:c>
      <x:c r="L18" s="8" t="str">
        <x:v>Not Scheduled</x:v>
      </x:c>
      <x:c r="M18" s="8" t="str"/>
      <x:c r="N18" s="8" t="str"/>
      <x:c r="O18" s="8" t="str">
        <x:v>No operational evidence — illustrative</x:v>
      </x:c>
      <x:c r="P18" s="8" t="str">
        <x:v>No exceptions approved</x:v>
      </x:c>
    </x:row>
    <x:row r="19" ht="31" customHeight="1">
      <x:c r="A19" s="8" t="str">
        <x:v>AI-003-CTRL-02</x:v>
      </x:c>
      <x:c r="B19" s="8" t="str">
        <x:v>AI-003</x:v>
      </x:c>
      <x:c r="C19" s="8" t="str">
        <x:v>Employee scheduling AI</x:v>
      </x:c>
      <x:c r="D19" s="8" t="str">
        <x:v>High</x:v>
      </x:c>
      <x:c r="E19" s="8" t="str">
        <x:v>Security and access control</x:v>
      </x:c>
      <x:c r="F19" s="8" t="str">
        <x:v>Enforce least-privilege access to system and logs</x:v>
      </x:c>
      <x:c r="G19" s="8" t="str">
        <x:v>Unassigned — example</x:v>
      </x:c>
      <x:c r="H19" s="8" t="str">
        <x:v>Unassigned — example</x:v>
      </x:c>
      <x:c r="I19" s="8" t="str">
        <x:v>Unassigned — example</x:v>
      </x:c>
      <x:c r="J19" s="8" t="str">
        <x:v>Applicable — to validate</x:v>
      </x:c>
      <x:c r="K19" s="8" t="str">
        <x:v>Not Tested</x:v>
      </x:c>
      <x:c r="L19" s="8" t="str">
        <x:v>Not Scheduled</x:v>
      </x:c>
      <x:c r="M19" s="8" t="str"/>
      <x:c r="N19" s="8" t="str"/>
      <x:c r="O19" s="8" t="str">
        <x:v>No operational evidence — illustrative</x:v>
      </x:c>
      <x:c r="P19" s="8" t="str">
        <x:v>No exceptions approved</x:v>
      </x:c>
    </x:row>
    <x:row r="20" ht="31" customHeight="1">
      <x:c r="A20" s="8" t="str">
        <x:v>AI-003-CTRL-03</x:v>
      </x:c>
      <x:c r="B20" s="8" t="str">
        <x:v>AI-003</x:v>
      </x:c>
      <x:c r="C20" s="8" t="str">
        <x:v>Employee scheduling AI</x:v>
      </x:c>
      <x:c r="D20" s="8" t="str">
        <x:v>High</x:v>
      </x:c>
      <x:c r="E20" s="8" t="str">
        <x:v>Accuracy and reliability</x:v>
      </x:c>
      <x:c r="F20" s="8" t="str">
        <x:v>Validate system results against agreed performance criteria</x:v>
      </x:c>
      <x:c r="G20" s="8" t="str">
        <x:v>Unassigned — example</x:v>
      </x:c>
      <x:c r="H20" s="8" t="str">
        <x:v>Unassigned — example</x:v>
      </x:c>
      <x:c r="I20" s="8" t="str">
        <x:v>Unassigned — example</x:v>
      </x:c>
      <x:c r="J20" s="8" t="str">
        <x:v>Applicable — to validate</x:v>
      </x:c>
      <x:c r="K20" s="8" t="str">
        <x:v>Not Tested</x:v>
      </x:c>
      <x:c r="L20" s="8" t="str">
        <x:v>Not Scheduled</x:v>
      </x:c>
      <x:c r="M20" s="8" t="str"/>
      <x:c r="N20" s="8" t="str"/>
      <x:c r="O20" s="8" t="str">
        <x:v>No operational evidence — illustrative</x:v>
      </x:c>
      <x:c r="P20" s="8" t="str">
        <x:v>No exceptions approved</x:v>
      </x:c>
    </x:row>
    <x:row r="21" ht="31" customHeight="1">
      <x:c r="A21" s="8" t="str">
        <x:v>AI-003-CTRL-04</x:v>
      </x:c>
      <x:c r="B21" s="8" t="str">
        <x:v>AI-003</x:v>
      </x:c>
      <x:c r="C21" s="8" t="str">
        <x:v>Employee scheduling AI</x:v>
      </x:c>
      <x:c r="D21" s="8" t="str">
        <x:v>High</x:v>
      </x:c>
      <x:c r="E21" s="8" t="str">
        <x:v>Fairness and human impact</x:v>
      </x:c>
      <x:c r="F21" s="8" t="str">
        <x:v>Assess material disparate or harmful impacts</x:v>
      </x:c>
      <x:c r="G21" s="8" t="str">
        <x:v>Unassigned — example</x:v>
      </x:c>
      <x:c r="H21" s="8" t="str">
        <x:v>Unassigned — example</x:v>
      </x:c>
      <x:c r="I21" s="8" t="str">
        <x:v>Unassigned — example</x:v>
      </x:c>
      <x:c r="J21" s="8" t="str">
        <x:v>Applicable — to validate</x:v>
      </x:c>
      <x:c r="K21" s="8" t="str">
        <x:v>Not Tested</x:v>
      </x:c>
      <x:c r="L21" s="8" t="str">
        <x:v>Not Scheduled</x:v>
      </x:c>
      <x:c r="M21" s="8" t="str"/>
      <x:c r="N21" s="8" t="str"/>
      <x:c r="O21" s="8" t="str">
        <x:v>No operational evidence — illustrative</x:v>
      </x:c>
      <x:c r="P21" s="8" t="str">
        <x:v>No exceptions approved</x:v>
      </x:c>
    </x:row>
    <x:row r="22" ht="31" customHeight="1">
      <x:c r="A22" s="8" t="str">
        <x:v>AI-003-CTRL-05</x:v>
      </x:c>
      <x:c r="B22" s="8" t="str">
        <x:v>AI-003</x:v>
      </x:c>
      <x:c r="C22" s="8" t="str">
        <x:v>Employee scheduling AI</x:v>
      </x:c>
      <x:c r="D22" s="8" t="str">
        <x:v>High</x:v>
      </x:c>
      <x:c r="E22" s="8" t="str">
        <x:v>Human oversight and intervention</x:v>
      </x:c>
      <x:c r="F22" s="8" t="str">
        <x:v>Provide meaningful trained review, override and stop capabilities</x:v>
      </x:c>
      <x:c r="G22" s="8" t="str">
        <x:v>Unassigned — example</x:v>
      </x:c>
      <x:c r="H22" s="8" t="str">
        <x:v>Unassigned — example</x:v>
      </x:c>
      <x:c r="I22" s="8" t="str">
        <x:v>Unassigned — example</x:v>
      </x:c>
      <x:c r="J22" s="8" t="str">
        <x:v>Applicable — to validate</x:v>
      </x:c>
      <x:c r="K22" s="8" t="str">
        <x:v>Not Tested</x:v>
      </x:c>
      <x:c r="L22" s="8" t="str">
        <x:v>Not Scheduled</x:v>
      </x:c>
      <x:c r="M22" s="8" t="str"/>
      <x:c r="N22" s="8" t="str"/>
      <x:c r="O22" s="8" t="str">
        <x:v>No operational evidence — illustrative</x:v>
      </x:c>
      <x:c r="P22" s="8" t="str">
        <x:v>No exceptions approved</x:v>
      </x:c>
    </x:row>
    <x:row r="23" ht="31" customHeight="1">
      <x:c r="A23" s="8" t="str">
        <x:v>AI-003-CTRL-06</x:v>
      </x:c>
      <x:c r="B23" s="8" t="str">
        <x:v>AI-003</x:v>
      </x:c>
      <x:c r="C23" s="8" t="str">
        <x:v>Employee scheduling AI</x:v>
      </x:c>
      <x:c r="D23" s="8" t="str">
        <x:v>High</x:v>
      </x:c>
      <x:c r="E23" s="8" t="str">
        <x:v>Transparency and documentation</x:v>
      </x:c>
      <x:c r="F23" s="8" t="str">
        <x:v>Maintain intended use, limitations and decision documentation</x:v>
      </x:c>
      <x:c r="G23" s="8" t="str">
        <x:v>Unassigned — example</x:v>
      </x:c>
      <x:c r="H23" s="8" t="str">
        <x:v>Unassigned — example</x:v>
      </x:c>
      <x:c r="I23" s="8" t="str">
        <x:v>Unassigned — example</x:v>
      </x:c>
      <x:c r="J23" s="8" t="str">
        <x:v>Applicable — to validate</x:v>
      </x:c>
      <x:c r="K23" s="8" t="str">
        <x:v>Not Tested</x:v>
      </x:c>
      <x:c r="L23" s="8" t="str">
        <x:v>Not Scheduled</x:v>
      </x:c>
      <x:c r="M23" s="8" t="str"/>
      <x:c r="N23" s="8" t="str"/>
      <x:c r="O23" s="8" t="str">
        <x:v>No operational evidence — illustrative</x:v>
      </x:c>
      <x:c r="P23" s="8" t="str">
        <x:v>No exceptions approved</x:v>
      </x:c>
    </x:row>
    <x:row r="24" ht="31" customHeight="1">
      <x:c r="A24" s="8" t="str">
        <x:v>AI-003-CTRL-07</x:v>
      </x:c>
      <x:c r="B24" s="8" t="str">
        <x:v>AI-003</x:v>
      </x:c>
      <x:c r="C24" s="8" t="str">
        <x:v>Employee scheduling AI</x:v>
      </x:c>
      <x:c r="D24" s="8" t="str">
        <x:v>High</x:v>
      </x:c>
      <x:c r="E24" s="8" t="str">
        <x:v>Monitoring and change control</x:v>
      </x:c>
      <x:c r="F24" s="8" t="str">
        <x:v>Monitor behavior and reassess material modifications</x:v>
      </x:c>
      <x:c r="G24" s="8" t="str">
        <x:v>Unassigned — example</x:v>
      </x:c>
      <x:c r="H24" s="8" t="str">
        <x:v>Unassigned — example</x:v>
      </x:c>
      <x:c r="I24" s="8" t="str">
        <x:v>Unassigned — example</x:v>
      </x:c>
      <x:c r="J24" s="8" t="str">
        <x:v>Applicable — to validate</x:v>
      </x:c>
      <x:c r="K24" s="8" t="str">
        <x:v>Not Tested</x:v>
      </x:c>
      <x:c r="L24" s="8" t="str">
        <x:v>Not Scheduled</x:v>
      </x:c>
      <x:c r="M24" s="8" t="str"/>
      <x:c r="N24" s="8" t="str"/>
      <x:c r="O24" s="8" t="str">
        <x:v>No operational evidence — illustrative</x:v>
      </x:c>
      <x:c r="P24" s="8" t="str">
        <x:v>No exceptions approved</x:v>
      </x:c>
    </x:row>
    <x:row r="25" ht="31" customHeight="1">
      <x:c r="A25" s="8" t="str">
        <x:v>AI-003-CTRL-08</x:v>
      </x:c>
      <x:c r="B25" s="8" t="str">
        <x:v>AI-003</x:v>
      </x:c>
      <x:c r="C25" s="8" t="str">
        <x:v>Employee scheduling AI</x:v>
      </x:c>
      <x:c r="D25" s="8" t="str">
        <x:v>High</x:v>
      </x:c>
      <x:c r="E25" s="8" t="str">
        <x:v>Incident response and recovery</x:v>
      </x:c>
      <x:c r="F25" s="8" t="str">
        <x:v>Contain harmful outcomes and approve restart</x:v>
      </x:c>
      <x:c r="G25" s="8" t="str">
        <x:v>Unassigned — example</x:v>
      </x:c>
      <x:c r="H25" s="8" t="str">
        <x:v>Unassigned — example</x:v>
      </x:c>
      <x:c r="I25" s="8" t="str">
        <x:v>Unassigned — example</x:v>
      </x:c>
      <x:c r="J25" s="8" t="str">
        <x:v>Applicable — to validate</x:v>
      </x:c>
      <x:c r="K25" s="8" t="str">
        <x:v>Not Tested</x:v>
      </x:c>
      <x:c r="L25" s="8" t="str">
        <x:v>Not Scheduled</x:v>
      </x:c>
      <x:c r="M25" s="8" t="str"/>
      <x:c r="N25" s="8" t="str"/>
      <x:c r="O25" s="8" t="str">
        <x:v>No operational evidence — illustrative</x:v>
      </x:c>
      <x:c r="P25" s="8" t="str">
        <x:v>No exceptions approved</x:v>
      </x:c>
    </x:row>
    <x:row r="26" ht="31" customHeight="1">
      <x:c r="A26" s="8" t="str">
        <x:v>AI-004-CTRL-01</x:v>
      </x:c>
      <x:c r="B26" s="8" t="str">
        <x:v>AI-004</x:v>
      </x:c>
      <x:c r="C26" s="8" t="str">
        <x:v>Inventory forecasting AI</x:v>
      </x:c>
      <x:c r="D26" s="8" t="str">
        <x:v>Moderate</x:v>
      </x:c>
      <x:c r="E26" s="8" t="str">
        <x:v>Data governance and privacy</x:v>
      </x:c>
      <x:c r="F26" s="8" t="str">
        <x:v>Restrict collection, retention and reuse of processed data</x:v>
      </x:c>
      <x:c r="G26" s="8" t="str">
        <x:v>Unassigned — example</x:v>
      </x:c>
      <x:c r="H26" s="8" t="str">
        <x:v>Unassigned — example</x:v>
      </x:c>
      <x:c r="I26" s="8" t="str">
        <x:v>Unassigned — example</x:v>
      </x:c>
      <x:c r="J26" s="8" t="str">
        <x:v>Applicable — to validate</x:v>
      </x:c>
      <x:c r="K26" s="8" t="str">
        <x:v>Not Tested</x:v>
      </x:c>
      <x:c r="L26" s="8" t="str">
        <x:v>Not Scheduled</x:v>
      </x:c>
      <x:c r="M26" s="8" t="str"/>
      <x:c r="N26" s="8" t="str"/>
      <x:c r="O26" s="8" t="str">
        <x:v>No operational evidence — illustrative</x:v>
      </x:c>
      <x:c r="P26" s="8" t="str">
        <x:v>No exceptions approved</x:v>
      </x:c>
    </x:row>
    <x:row r="27" ht="31" customHeight="1">
      <x:c r="A27" s="8" t="str">
        <x:v>AI-004-CTRL-02</x:v>
      </x:c>
      <x:c r="B27" s="8" t="str">
        <x:v>AI-004</x:v>
      </x:c>
      <x:c r="C27" s="8" t="str">
        <x:v>Inventory forecasting AI</x:v>
      </x:c>
      <x:c r="D27" s="8" t="str">
        <x:v>Moderate</x:v>
      </x:c>
      <x:c r="E27" s="8" t="str">
        <x:v>Security and access control</x:v>
      </x:c>
      <x:c r="F27" s="8" t="str">
        <x:v>Enforce least-privilege access to system and logs</x:v>
      </x:c>
      <x:c r="G27" s="8" t="str">
        <x:v>Unassigned — example</x:v>
      </x:c>
      <x:c r="H27" s="8" t="str">
        <x:v>Unassigned — example</x:v>
      </x:c>
      <x:c r="I27" s="8" t="str">
        <x:v>Unassigned — example</x:v>
      </x:c>
      <x:c r="J27" s="8" t="str">
        <x:v>Applicable — to validate</x:v>
      </x:c>
      <x:c r="K27" s="8" t="str">
        <x:v>Not Tested</x:v>
      </x:c>
      <x:c r="L27" s="8" t="str">
        <x:v>Not Scheduled</x:v>
      </x:c>
      <x:c r="M27" s="8" t="str"/>
      <x:c r="N27" s="8" t="str"/>
      <x:c r="O27" s="8" t="str">
        <x:v>No operational evidence — illustrative</x:v>
      </x:c>
      <x:c r="P27" s="8" t="str">
        <x:v>No exceptions approved</x:v>
      </x:c>
    </x:row>
    <x:row r="28" ht="31" customHeight="1">
      <x:c r="A28" s="8" t="str">
        <x:v>AI-004-CTRL-03</x:v>
      </x:c>
      <x:c r="B28" s="8" t="str">
        <x:v>AI-004</x:v>
      </x:c>
      <x:c r="C28" s="8" t="str">
        <x:v>Inventory forecasting AI</x:v>
      </x:c>
      <x:c r="D28" s="8" t="str">
        <x:v>Moderate</x:v>
      </x:c>
      <x:c r="E28" s="8" t="str">
        <x:v>Accuracy and reliability</x:v>
      </x:c>
      <x:c r="F28" s="8" t="str">
        <x:v>Validate system results against agreed performance criteria</x:v>
      </x:c>
      <x:c r="G28" s="8" t="str">
        <x:v>Unassigned — example</x:v>
      </x:c>
      <x:c r="H28" s="8" t="str">
        <x:v>Unassigned — example</x:v>
      </x:c>
      <x:c r="I28" s="8" t="str">
        <x:v>Unassigned — example</x:v>
      </x:c>
      <x:c r="J28" s="8" t="str">
        <x:v>Applicable — to validate</x:v>
      </x:c>
      <x:c r="K28" s="8" t="str">
        <x:v>Not Tested</x:v>
      </x:c>
      <x:c r="L28" s="8" t="str">
        <x:v>Not Scheduled</x:v>
      </x:c>
      <x:c r="M28" s="8" t="str"/>
      <x:c r="N28" s="8" t="str"/>
      <x:c r="O28" s="8" t="str">
        <x:v>No operational evidence — illustrative</x:v>
      </x:c>
      <x:c r="P28" s="8" t="str">
        <x:v>No exceptions approved</x:v>
      </x:c>
    </x:row>
    <x:row r="29" ht="31" customHeight="1">
      <x:c r="A29" s="8" t="str">
        <x:v>AI-004-CTRL-04</x:v>
      </x:c>
      <x:c r="B29" s="8" t="str">
        <x:v>AI-004</x:v>
      </x:c>
      <x:c r="C29" s="8" t="str">
        <x:v>Inventory forecasting AI</x:v>
      </x:c>
      <x:c r="D29" s="8" t="str">
        <x:v>Moderate</x:v>
      </x:c>
      <x:c r="E29" s="8" t="str">
        <x:v>Fairness and human impact</x:v>
      </x:c>
      <x:c r="F29" s="8" t="str">
        <x:v>Assess material disparate or harmful impacts</x:v>
      </x:c>
      <x:c r="G29" s="8" t="str">
        <x:v>Unassigned — example</x:v>
      </x:c>
      <x:c r="H29" s="8" t="str">
        <x:v>Unassigned — example</x:v>
      </x:c>
      <x:c r="I29" s="8" t="str">
        <x:v>Unassigned — example</x:v>
      </x:c>
      <x:c r="J29" s="8" t="str">
        <x:v>Applicable — to validate</x:v>
      </x:c>
      <x:c r="K29" s="8" t="str">
        <x:v>Not Tested</x:v>
      </x:c>
      <x:c r="L29" s="8" t="str">
        <x:v>Not Scheduled</x:v>
      </x:c>
      <x:c r="M29" s="8" t="str"/>
      <x:c r="N29" s="8" t="str"/>
      <x:c r="O29" s="8" t="str">
        <x:v>No operational evidence — illustrative</x:v>
      </x:c>
      <x:c r="P29" s="8" t="str">
        <x:v>No exceptions approved</x:v>
      </x:c>
    </x:row>
    <x:row r="30" ht="31" customHeight="1">
      <x:c r="A30" s="8" t="str">
        <x:v>AI-004-CTRL-05</x:v>
      </x:c>
      <x:c r="B30" s="8" t="str">
        <x:v>AI-004</x:v>
      </x:c>
      <x:c r="C30" s="8" t="str">
        <x:v>Inventory forecasting AI</x:v>
      </x:c>
      <x:c r="D30" s="8" t="str">
        <x:v>Moderate</x:v>
      </x:c>
      <x:c r="E30" s="8" t="str">
        <x:v>Human oversight and intervention</x:v>
      </x:c>
      <x:c r="F30" s="8" t="str">
        <x:v>Provide meaningful trained review, override and stop capabilities</x:v>
      </x:c>
      <x:c r="G30" s="8" t="str">
        <x:v>Unassigned — example</x:v>
      </x:c>
      <x:c r="H30" s="8" t="str">
        <x:v>Unassigned — example</x:v>
      </x:c>
      <x:c r="I30" s="8" t="str">
        <x:v>Unassigned — example</x:v>
      </x:c>
      <x:c r="J30" s="8" t="str">
        <x:v>Applicable — to validate</x:v>
      </x:c>
      <x:c r="K30" s="8" t="str">
        <x:v>Not Tested</x:v>
      </x:c>
      <x:c r="L30" s="8" t="str">
        <x:v>Not Scheduled</x:v>
      </x:c>
      <x:c r="M30" s="8" t="str"/>
      <x:c r="N30" s="8" t="str"/>
      <x:c r="O30" s="8" t="str">
        <x:v>No operational evidence — illustrative</x:v>
      </x:c>
      <x:c r="P30" s="8" t="str">
        <x:v>No exceptions approved</x:v>
      </x:c>
    </x:row>
    <x:row r="31" ht="31" customHeight="1">
      <x:c r="A31" s="8" t="str">
        <x:v>AI-004-CTRL-06</x:v>
      </x:c>
      <x:c r="B31" s="8" t="str">
        <x:v>AI-004</x:v>
      </x:c>
      <x:c r="C31" s="8" t="str">
        <x:v>Inventory forecasting AI</x:v>
      </x:c>
      <x:c r="D31" s="8" t="str">
        <x:v>Moderate</x:v>
      </x:c>
      <x:c r="E31" s="8" t="str">
        <x:v>Transparency and documentation</x:v>
      </x:c>
      <x:c r="F31" s="8" t="str">
        <x:v>Maintain intended use, limitations and decision documentation</x:v>
      </x:c>
      <x:c r="G31" s="8" t="str">
        <x:v>Unassigned — example</x:v>
      </x:c>
      <x:c r="H31" s="8" t="str">
        <x:v>Unassigned — example</x:v>
      </x:c>
      <x:c r="I31" s="8" t="str">
        <x:v>Unassigned — example</x:v>
      </x:c>
      <x:c r="J31" s="8" t="str">
        <x:v>Applicable — to validate</x:v>
      </x:c>
      <x:c r="K31" s="8" t="str">
        <x:v>Not Tested</x:v>
      </x:c>
      <x:c r="L31" s="8" t="str">
        <x:v>Not Scheduled</x:v>
      </x:c>
      <x:c r="M31" s="8" t="str"/>
      <x:c r="N31" s="8" t="str"/>
      <x:c r="O31" s="8" t="str">
        <x:v>No operational evidence — illustrative</x:v>
      </x:c>
      <x:c r="P31" s="8" t="str">
        <x:v>No exceptions approved</x:v>
      </x:c>
    </x:row>
    <x:row r="32" ht="31" customHeight="1">
      <x:c r="A32" s="8" t="str">
        <x:v>AI-004-CTRL-07</x:v>
      </x:c>
      <x:c r="B32" s="8" t="str">
        <x:v>AI-004</x:v>
      </x:c>
      <x:c r="C32" s="8" t="str">
        <x:v>Inventory forecasting AI</x:v>
      </x:c>
      <x:c r="D32" s="8" t="str">
        <x:v>Moderate</x:v>
      </x:c>
      <x:c r="E32" s="8" t="str">
        <x:v>Monitoring and change control</x:v>
      </x:c>
      <x:c r="F32" s="8" t="str">
        <x:v>Monitor behavior and reassess material modifications</x:v>
      </x:c>
      <x:c r="G32" s="8" t="str">
        <x:v>Unassigned — example</x:v>
      </x:c>
      <x:c r="H32" s="8" t="str">
        <x:v>Unassigned — example</x:v>
      </x:c>
      <x:c r="I32" s="8" t="str">
        <x:v>Unassigned — example</x:v>
      </x:c>
      <x:c r="J32" s="8" t="str">
        <x:v>Applicable — to validate</x:v>
      </x:c>
      <x:c r="K32" s="8" t="str">
        <x:v>Not Tested</x:v>
      </x:c>
      <x:c r="L32" s="8" t="str">
        <x:v>Not Scheduled</x:v>
      </x:c>
      <x:c r="M32" s="8" t="str"/>
      <x:c r="N32" s="8" t="str"/>
      <x:c r="O32" s="8" t="str">
        <x:v>No operational evidence — illustrative</x:v>
      </x:c>
      <x:c r="P32" s="8" t="str">
        <x:v>No exceptions approved</x:v>
      </x:c>
    </x:row>
    <x:row r="33" ht="31" customHeight="1">
      <x:c r="A33" s="8" t="str">
        <x:v>AI-004-CTRL-08</x:v>
      </x:c>
      <x:c r="B33" s="8" t="str">
        <x:v>AI-004</x:v>
      </x:c>
      <x:c r="C33" s="8" t="str">
        <x:v>Inventory forecasting AI</x:v>
      </x:c>
      <x:c r="D33" s="8" t="str">
        <x:v>Moderate</x:v>
      </x:c>
      <x:c r="E33" s="8" t="str">
        <x:v>Incident response and recovery</x:v>
      </x:c>
      <x:c r="F33" s="8" t="str">
        <x:v>Contain harmful outcomes and approve restart</x:v>
      </x:c>
      <x:c r="G33" s="8" t="str">
        <x:v>Unassigned — example</x:v>
      </x:c>
      <x:c r="H33" s="8" t="str">
        <x:v>Unassigned — example</x:v>
      </x:c>
      <x:c r="I33" s="8" t="str">
        <x:v>Unassigned — example</x:v>
      </x:c>
      <x:c r="J33" s="8" t="str">
        <x:v>Applicable — to validate</x:v>
      </x:c>
      <x:c r="K33" s="8" t="str">
        <x:v>Not Tested</x:v>
      </x:c>
      <x:c r="L33" s="8" t="str">
        <x:v>Not Scheduled</x:v>
      </x:c>
      <x:c r="M33" s="8" t="str"/>
      <x:c r="N33" s="8" t="str"/>
      <x:c r="O33" s="8" t="str">
        <x:v>No operational evidence — illustrative</x:v>
      </x:c>
      <x:c r="P33" s="8" t="str">
        <x:v>No exceptions approved</x:v>
      </x:c>
    </x:row>
    <x:row r="34" ht="31" customHeight="1">
      <x:c r="A34" s="8" t="str">
        <x:v>AI-005-CTRL-01</x:v>
      </x:c>
      <x:c r="B34" s="8" t="str">
        <x:v>AI-005</x:v>
      </x:c>
      <x:c r="C34" s="8" t="str">
        <x:v>Cybersecurity monitoring AI</x:v>
      </x:c>
      <x:c r="D34" s="8" t="str">
        <x:v>High</x:v>
      </x:c>
      <x:c r="E34" s="8" t="str">
        <x:v>Data governance and privacy</x:v>
      </x:c>
      <x:c r="F34" s="8" t="str">
        <x:v>Restrict collection, retention and reuse of processed data</x:v>
      </x:c>
      <x:c r="G34" s="8" t="str">
        <x:v>Unassigned — example</x:v>
      </x:c>
      <x:c r="H34" s="8" t="str">
        <x:v>Unassigned — example</x:v>
      </x:c>
      <x:c r="I34" s="8" t="str">
        <x:v>Unassigned — example</x:v>
      </x:c>
      <x:c r="J34" s="8" t="str">
        <x:v>Applicable — to validate</x:v>
      </x:c>
      <x:c r="K34" s="8" t="str">
        <x:v>Not Tested</x:v>
      </x:c>
      <x:c r="L34" s="8" t="str">
        <x:v>Not Scheduled</x:v>
      </x:c>
      <x:c r="M34" s="8" t="str"/>
      <x:c r="N34" s="8" t="str"/>
      <x:c r="O34" s="8" t="str">
        <x:v>No operational evidence — illustrative</x:v>
      </x:c>
      <x:c r="P34" s="8" t="str">
        <x:v>No exceptions approved</x:v>
      </x:c>
    </x:row>
    <x:row r="35" ht="31" customHeight="1">
      <x:c r="A35" s="8" t="str">
        <x:v>AI-005-CTRL-02</x:v>
      </x:c>
      <x:c r="B35" s="8" t="str">
        <x:v>AI-005</x:v>
      </x:c>
      <x:c r="C35" s="8" t="str">
        <x:v>Cybersecurity monitoring AI</x:v>
      </x:c>
      <x:c r="D35" s="8" t="str">
        <x:v>High</x:v>
      </x:c>
      <x:c r="E35" s="8" t="str">
        <x:v>Security and access control</x:v>
      </x:c>
      <x:c r="F35" s="8" t="str">
        <x:v>Enforce least-privilege access to system and logs</x:v>
      </x:c>
      <x:c r="G35" s="8" t="str">
        <x:v>Unassigned — example</x:v>
      </x:c>
      <x:c r="H35" s="8" t="str">
        <x:v>Unassigned — example</x:v>
      </x:c>
      <x:c r="I35" s="8" t="str">
        <x:v>Unassigned — example</x:v>
      </x:c>
      <x:c r="J35" s="8" t="str">
        <x:v>Applicable — to validate</x:v>
      </x:c>
      <x:c r="K35" s="8" t="str">
        <x:v>Not Tested</x:v>
      </x:c>
      <x:c r="L35" s="8" t="str">
        <x:v>Not Scheduled</x:v>
      </x:c>
      <x:c r="M35" s="8" t="str"/>
      <x:c r="N35" s="8" t="str"/>
      <x:c r="O35" s="8" t="str">
        <x:v>No operational evidence — illustrative</x:v>
      </x:c>
      <x:c r="P35" s="8" t="str">
        <x:v>No exceptions approved</x:v>
      </x:c>
    </x:row>
    <x:row r="36" ht="31" customHeight="1">
      <x:c r="A36" s="8" t="str">
        <x:v>AI-005-CTRL-03</x:v>
      </x:c>
      <x:c r="B36" s="8" t="str">
        <x:v>AI-005</x:v>
      </x:c>
      <x:c r="C36" s="8" t="str">
        <x:v>Cybersecurity monitoring AI</x:v>
      </x:c>
      <x:c r="D36" s="8" t="str">
        <x:v>High</x:v>
      </x:c>
      <x:c r="E36" s="8" t="str">
        <x:v>Accuracy and reliability</x:v>
      </x:c>
      <x:c r="F36" s="8" t="str">
        <x:v>Validate system results against agreed performance criteria</x:v>
      </x:c>
      <x:c r="G36" s="8" t="str">
        <x:v>Unassigned — example</x:v>
      </x:c>
      <x:c r="H36" s="8" t="str">
        <x:v>Unassigned — example</x:v>
      </x:c>
      <x:c r="I36" s="8" t="str">
        <x:v>Unassigned — example</x:v>
      </x:c>
      <x:c r="J36" s="8" t="str">
        <x:v>Applicable — to validate</x:v>
      </x:c>
      <x:c r="K36" s="8" t="str">
        <x:v>Not Tested</x:v>
      </x:c>
      <x:c r="L36" s="8" t="str">
        <x:v>Not Scheduled</x:v>
      </x:c>
      <x:c r="M36" s="8" t="str"/>
      <x:c r="N36" s="8" t="str"/>
      <x:c r="O36" s="8" t="str">
        <x:v>No operational evidence — illustrative</x:v>
      </x:c>
      <x:c r="P36" s="8" t="str">
        <x:v>No exceptions approved</x:v>
      </x:c>
    </x:row>
    <x:row r="37" ht="31" customHeight="1">
      <x:c r="A37" s="8" t="str">
        <x:v>AI-005-CTRL-04</x:v>
      </x:c>
      <x:c r="B37" s="8" t="str">
        <x:v>AI-005</x:v>
      </x:c>
      <x:c r="C37" s="8" t="str">
        <x:v>Cybersecurity monitoring AI</x:v>
      </x:c>
      <x:c r="D37" s="8" t="str">
        <x:v>High</x:v>
      </x:c>
      <x:c r="E37" s="8" t="str">
        <x:v>Fairness and human impact</x:v>
      </x:c>
      <x:c r="F37" s="8" t="str">
        <x:v>Assess material disparate or harmful impacts</x:v>
      </x:c>
      <x:c r="G37" s="8" t="str">
        <x:v>Unassigned — example</x:v>
      </x:c>
      <x:c r="H37" s="8" t="str">
        <x:v>Unassigned — example</x:v>
      </x:c>
      <x:c r="I37" s="8" t="str">
        <x:v>Unassigned — example</x:v>
      </x:c>
      <x:c r="J37" s="8" t="str">
        <x:v>Applicable — to validate</x:v>
      </x:c>
      <x:c r="K37" s="8" t="str">
        <x:v>Not Tested</x:v>
      </x:c>
      <x:c r="L37" s="8" t="str">
        <x:v>Not Scheduled</x:v>
      </x:c>
      <x:c r="M37" s="8" t="str"/>
      <x:c r="N37" s="8" t="str"/>
      <x:c r="O37" s="8" t="str">
        <x:v>No operational evidence — illustrative</x:v>
      </x:c>
      <x:c r="P37" s="8" t="str">
        <x:v>No exceptions approved</x:v>
      </x:c>
    </x:row>
    <x:row r="38" ht="31" customHeight="1">
      <x:c r="A38" s="8" t="str">
        <x:v>AI-005-CTRL-05</x:v>
      </x:c>
      <x:c r="B38" s="8" t="str">
        <x:v>AI-005</x:v>
      </x:c>
      <x:c r="C38" s="8" t="str">
        <x:v>Cybersecurity monitoring AI</x:v>
      </x:c>
      <x:c r="D38" s="8" t="str">
        <x:v>High</x:v>
      </x:c>
      <x:c r="E38" s="8" t="str">
        <x:v>Human oversight and intervention</x:v>
      </x:c>
      <x:c r="F38" s="8" t="str">
        <x:v>Provide meaningful trained review, override and stop capabilities</x:v>
      </x:c>
      <x:c r="G38" s="8" t="str">
        <x:v>Unassigned — example</x:v>
      </x:c>
      <x:c r="H38" s="8" t="str">
        <x:v>Unassigned — example</x:v>
      </x:c>
      <x:c r="I38" s="8" t="str">
        <x:v>Unassigned — example</x:v>
      </x:c>
      <x:c r="J38" s="8" t="str">
        <x:v>Applicable — to validate</x:v>
      </x:c>
      <x:c r="K38" s="8" t="str">
        <x:v>Not Tested</x:v>
      </x:c>
      <x:c r="L38" s="8" t="str">
        <x:v>Not Scheduled</x:v>
      </x:c>
      <x:c r="M38" s="8" t="str"/>
      <x:c r="N38" s="8" t="str"/>
      <x:c r="O38" s="8" t="str">
        <x:v>No operational evidence — illustrative</x:v>
      </x:c>
      <x:c r="P38" s="8" t="str">
        <x:v>No exceptions approved</x:v>
      </x:c>
    </x:row>
    <x:row r="39" ht="31" customHeight="1">
      <x:c r="A39" s="8" t="str">
        <x:v>AI-005-CTRL-06</x:v>
      </x:c>
      <x:c r="B39" s="8" t="str">
        <x:v>AI-005</x:v>
      </x:c>
      <x:c r="C39" s="8" t="str">
        <x:v>Cybersecurity monitoring AI</x:v>
      </x:c>
      <x:c r="D39" s="8" t="str">
        <x:v>High</x:v>
      </x:c>
      <x:c r="E39" s="8" t="str">
        <x:v>Transparency and documentation</x:v>
      </x:c>
      <x:c r="F39" s="8" t="str">
        <x:v>Maintain intended use, limitations and decision documentation</x:v>
      </x:c>
      <x:c r="G39" s="8" t="str">
        <x:v>Unassigned — example</x:v>
      </x:c>
      <x:c r="H39" s="8" t="str">
        <x:v>Unassigned — example</x:v>
      </x:c>
      <x:c r="I39" s="8" t="str">
        <x:v>Unassigned — example</x:v>
      </x:c>
      <x:c r="J39" s="8" t="str">
        <x:v>Applicable — to validate</x:v>
      </x:c>
      <x:c r="K39" s="8" t="str">
        <x:v>Not Tested</x:v>
      </x:c>
      <x:c r="L39" s="8" t="str">
        <x:v>Not Scheduled</x:v>
      </x:c>
      <x:c r="M39" s="8" t="str"/>
      <x:c r="N39" s="8" t="str"/>
      <x:c r="O39" s="8" t="str">
        <x:v>No operational evidence — illustrative</x:v>
      </x:c>
      <x:c r="P39" s="8" t="str">
        <x:v>No exceptions approved</x:v>
      </x:c>
    </x:row>
    <x:row r="40" ht="31" customHeight="1">
      <x:c r="A40" s="8" t="str">
        <x:v>AI-005-CTRL-07</x:v>
      </x:c>
      <x:c r="B40" s="8" t="str">
        <x:v>AI-005</x:v>
      </x:c>
      <x:c r="C40" s="8" t="str">
        <x:v>Cybersecurity monitoring AI</x:v>
      </x:c>
      <x:c r="D40" s="8" t="str">
        <x:v>High</x:v>
      </x:c>
      <x:c r="E40" s="8" t="str">
        <x:v>Monitoring and change control</x:v>
      </x:c>
      <x:c r="F40" s="8" t="str">
        <x:v>Monitor behavior and reassess material modifications</x:v>
      </x:c>
      <x:c r="G40" s="8" t="str">
        <x:v>Unassigned — example</x:v>
      </x:c>
      <x:c r="H40" s="8" t="str">
        <x:v>Unassigned — example</x:v>
      </x:c>
      <x:c r="I40" s="8" t="str">
        <x:v>Unassigned — example</x:v>
      </x:c>
      <x:c r="J40" s="8" t="str">
        <x:v>Applicable — to validate</x:v>
      </x:c>
      <x:c r="K40" s="8" t="str">
        <x:v>Not Tested</x:v>
      </x:c>
      <x:c r="L40" s="8" t="str">
        <x:v>Not Scheduled</x:v>
      </x:c>
      <x:c r="M40" s="8" t="str"/>
      <x:c r="N40" s="8" t="str"/>
      <x:c r="O40" s="8" t="str">
        <x:v>No operational evidence — illustrative</x:v>
      </x:c>
      <x:c r="P40" s="8" t="str">
        <x:v>No exceptions approved</x:v>
      </x:c>
    </x:row>
    <x:row r="41" ht="31" customHeight="1">
      <x:c r="A41" s="8" t="str">
        <x:v>AI-005-CTRL-08</x:v>
      </x:c>
      <x:c r="B41" s="8" t="str">
        <x:v>AI-005</x:v>
      </x:c>
      <x:c r="C41" s="8" t="str">
        <x:v>Cybersecurity monitoring AI</x:v>
      </x:c>
      <x:c r="D41" s="8" t="str">
        <x:v>High</x:v>
      </x:c>
      <x:c r="E41" s="8" t="str">
        <x:v>Incident response and recovery</x:v>
      </x:c>
      <x:c r="F41" s="8" t="str">
        <x:v>Contain harmful outcomes and approve restart</x:v>
      </x:c>
      <x:c r="G41" s="8" t="str">
        <x:v>Unassigned — example</x:v>
      </x:c>
      <x:c r="H41" s="8" t="str">
        <x:v>Unassigned — example</x:v>
      </x:c>
      <x:c r="I41" s="8" t="str">
        <x:v>Unassigned — example</x:v>
      </x:c>
      <x:c r="J41" s="8" t="str">
        <x:v>Applicable — to validate</x:v>
      </x:c>
      <x:c r="K41" s="8" t="str">
        <x:v>Not Tested</x:v>
      </x:c>
      <x:c r="L41" s="8" t="str">
        <x:v>Not Scheduled</x:v>
      </x:c>
      <x:c r="M41" s="8" t="str"/>
      <x:c r="N41" s="8" t="str"/>
      <x:c r="O41" s="8" t="str">
        <x:v>No operational evidence — illustrative</x:v>
      </x:c>
      <x:c r="P41" s="8" t="str">
        <x:v>No exceptions approved</x:v>
      </x:c>
    </x:row>
  </x:sheetData>
  <x:dataValidations count="2">
    <x:dataValidation type="list" sqref="K2:K201">
      <x:formula1>"Effective,Partially Effective,Ineffective,Not Tested,Not Applicable"</x:formula1>
    </x:dataValidation>
    <x:dataValidation type="list" sqref="L2:L201">
      <x:formula1>"Not Scheduled,Scheduled,In Progress,Evidence Pending,Completed,Remediation Open,Retest Pending,Closed"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5" hidden="0" customWidth="1"/>
    <x:col min="4" max="4" width="23" hidden="0" customWidth="1"/>
    <x:col min="5" max="5" width="43" hidden="0" customWidth="1"/>
    <x:col min="6" max="6" width="49" hidden="0" customWidth="1"/>
    <x:col min="7" max="7" width="42" hidden="0" customWidth="1"/>
    <x:col min="8" max="8" width="26" hidden="0" customWidth="1"/>
    <x:col min="9" max="9" width="31" hidden="0" customWidth="1"/>
    <x:col min="10" max="10" width="27" hidden="0" customWidth="1"/>
    <x:col min="11" max="11" width="20" hidden="0" customWidth="1"/>
    <x:col min="12" max="12" width="37" hidden="0" customWidth="1"/>
    <x:col min="13" max="13" width="32" hidden="0" customWidth="1"/>
    <x:col min="14" max="14" width="19" hidden="0" customWidth="1"/>
    <x:col min="15" max="15" width="23" hidden="0" customWidth="1"/>
  </x:cols>
  <x:sheetData>
    <x:row r="1" ht="30" customHeight="1">
      <x:c r="A1" s="4" t="str">
        <x:v>Plan ID</x:v>
      </x:c>
      <x:c r="B1" s="4" t="str">
        <x:v>Control ID / System linkage</x:v>
      </x:c>
      <x:c r="C1" s="4" t="str">
        <x:v>AI System ID</x:v>
      </x:c>
      <x:c r="D1" s="4" t="str">
        <x:v>Control Owner</x:v>
      </x:c>
      <x:c r="E1" s="4" t="str">
        <x:v>Control objective</x:v>
      </x:c>
      <x:c r="F1" s="4" t="str">
        <x:v>Test procedure</x:v>
      </x:c>
      <x:c r="G1" s="4" t="str">
        <x:v>Expected result</x:v>
      </x:c>
      <x:c r="H1" s="4" t="str">
        <x:v>Actual result</x:v>
      </x:c>
      <x:c r="I1" s="4" t="str">
        <x:v>Evidence reference</x:v>
      </x:c>
      <x:c r="J1" s="4" t="str">
        <x:v>Tester and test date</x:v>
      </x:c>
      <x:c r="K1" s="4" t="str">
        <x:v>Effectiveness rating</x:v>
      </x:c>
      <x:c r="L1" s="4" t="str">
        <x:v>Finding / corrective action</x:v>
      </x:c>
      <x:c r="M1" s="4" t="str">
        <x:v>Independent closure verification</x:v>
      </x:c>
      <x:c r="N1" s="4" t="str">
        <x:v>Next test date</x:v>
      </x:c>
      <x:c r="O1" s="4" t="str">
        <x:v>Testing status</x:v>
      </x:c>
    </x:row>
    <x:row r="2" ht="31" customHeight="1">
      <x:c r="A2" s="8" t="str">
        <x:v>PLAN-001-01</x:v>
      </x:c>
      <x:c r="B2" s="8" t="str">
        <x:v>AI-001-CTRL-01</x:v>
      </x:c>
      <x:c r="C2" s="8" t="str">
        <x:v>AI-001</x:v>
      </x:c>
      <x:c r="D2" s="8" t="str">
        <x:v>Unassigned — example</x:v>
      </x:c>
      <x:c r="E2" s="8" t="str">
        <x:v>Restrict collection, retention and reuse of processed data</x:v>
      </x:c>
      <x:c r="F2" s="8" t="str">
        <x:v>Inspect data flow and approved retention schedule</x:v>
      </x:c>
      <x:c r="G2" s="8" t="str">
        <x:v>Data handling matches authorized purpose</x:v>
      </x:c>
      <x:c r="H2" s="8" t="str">
        <x:v>Not performed</x:v>
      </x:c>
      <x:c r="I2" s="8" t="str">
        <x:v>None — Not Tested</x:v>
      </x:c>
      <x:c r="J2" s="8" t="str">
        <x:v>Unassigned / no test date</x:v>
      </x:c>
      <x:c r="K2" s="8" t="str">
        <x:v>Not Tested</x:v>
      </x:c>
      <x:c r="L2" s="8" t="str">
        <x:v>No finding assessed; no corrective action asserted</x:v>
      </x:c>
      <x:c r="M2" s="8" t="str">
        <x:v>Not performed</x:v>
      </x:c>
      <x:c r="N2" s="8" t="str"/>
      <x:c r="O2" s="8" t="str">
        <x:v>Not Scheduled</x:v>
      </x:c>
    </x:row>
    <x:row r="3" ht="31" customHeight="1">
      <x:c r="A3" s="8" t="str">
        <x:v>PLAN-001-02</x:v>
      </x:c>
      <x:c r="B3" s="8" t="str">
        <x:v>AI-001-CTRL-02</x:v>
      </x:c>
      <x:c r="C3" s="8" t="str">
        <x:v>AI-001</x:v>
      </x:c>
      <x:c r="D3" s="8" t="str">
        <x:v>Unassigned — example</x:v>
      </x:c>
      <x:c r="E3" s="8" t="str">
        <x:v>Enforce least-privilege access to system and logs</x:v>
      </x:c>
      <x:c r="F3" s="8" t="str">
        <x:v>Review access list and attempt prohibited access in test</x:v>
      </x:c>
      <x:c r="G3" s="8" t="str">
        <x:v>Unauthorized access denied; logging enabled</x:v>
      </x:c>
      <x:c r="H3" s="8" t="str">
        <x:v>Not performed</x:v>
      </x:c>
      <x:c r="I3" s="8" t="str">
        <x:v>None — Not Tested</x:v>
      </x:c>
      <x:c r="J3" s="8" t="str">
        <x:v>Unassigned / no test date</x:v>
      </x:c>
      <x:c r="K3" s="8" t="str">
        <x:v>Not Tested</x:v>
      </x:c>
      <x:c r="L3" s="8" t="str">
        <x:v>No finding assessed; no corrective action asserted</x:v>
      </x:c>
      <x:c r="M3" s="8" t="str">
        <x:v>Not performed</x:v>
      </x:c>
      <x:c r="N3" s="8" t="str"/>
      <x:c r="O3" s="8" t="str">
        <x:v>Not Scheduled</x:v>
      </x:c>
    </x:row>
    <x:row r="4" ht="31" customHeight="1">
      <x:c r="A4" s="8" t="str">
        <x:v>PLAN-001-03</x:v>
      </x:c>
      <x:c r="B4" s="8" t="str">
        <x:v>AI-001-CTRL-03</x:v>
      </x:c>
      <x:c r="C4" s="8" t="str">
        <x:v>AI-001</x:v>
      </x:c>
      <x:c r="D4" s="8" t="str">
        <x:v>Unassigned — example</x:v>
      </x:c>
      <x:c r="E4" s="8" t="str">
        <x:v>Validate system results against agreed performance criteria</x:v>
      </x:c>
      <x:c r="F4" s="8" t="str">
        <x:v>Sample outputs against reference cases</x:v>
      </x:c>
      <x:c r="G4" s="8" t="str">
        <x:v>Meets approved case-specific accuracy criteria</x:v>
      </x:c>
      <x:c r="H4" s="8" t="str">
        <x:v>Not performed</x:v>
      </x:c>
      <x:c r="I4" s="8" t="str">
        <x:v>None — Not Tested</x:v>
      </x:c>
      <x:c r="J4" s="8" t="str">
        <x:v>Unassigned / no test date</x:v>
      </x:c>
      <x:c r="K4" s="8" t="str">
        <x:v>Not Tested</x:v>
      </x:c>
      <x:c r="L4" s="8" t="str">
        <x:v>No finding assessed; no corrective action asserted</x:v>
      </x:c>
      <x:c r="M4" s="8" t="str">
        <x:v>Not performed</x:v>
      </x:c>
      <x:c r="N4" s="8" t="str"/>
      <x:c r="O4" s="8" t="str">
        <x:v>Not Scheduled</x:v>
      </x:c>
    </x:row>
    <x:row r="5" ht="31" customHeight="1">
      <x:c r="A5" s="8" t="str">
        <x:v>PLAN-001-04</x:v>
      </x:c>
      <x:c r="B5" s="8" t="str">
        <x:v>AI-001-CTRL-04</x:v>
      </x:c>
      <x:c r="C5" s="8" t="str">
        <x:v>AI-001</x:v>
      </x:c>
      <x:c r="D5" s="8" t="str">
        <x:v>Unassigned — example</x:v>
      </x:c>
      <x:c r="E5" s="8" t="str">
        <x:v>Assess material disparate or harmful impacts</x:v>
      </x:c>
      <x:c r="F5" s="8" t="str">
        <x:v>Review stratified impact testing plan and results</x:v>
      </x:c>
      <x:c r="G5" s="8" t="str">
        <x:v>No unresolved unacceptable differential harm</x:v>
      </x:c>
      <x:c r="H5" s="8" t="str">
        <x:v>Not performed</x:v>
      </x:c>
      <x:c r="I5" s="8" t="str">
        <x:v>None — Not Tested</x:v>
      </x:c>
      <x:c r="J5" s="8" t="str">
        <x:v>Unassigned / no test date</x:v>
      </x:c>
      <x:c r="K5" s="8" t="str">
        <x:v>Not Tested</x:v>
      </x:c>
      <x:c r="L5" s="8" t="str">
        <x:v>No finding assessed; no corrective action asserted</x:v>
      </x:c>
      <x:c r="M5" s="8" t="str">
        <x:v>Not performed</x:v>
      </x:c>
      <x:c r="N5" s="8" t="str"/>
      <x:c r="O5" s="8" t="str">
        <x:v>Not Scheduled</x:v>
      </x:c>
    </x:row>
    <x:row r="6" ht="31" customHeight="1">
      <x:c r="A6" s="8" t="str">
        <x:v>PLAN-001-05</x:v>
      </x:c>
      <x:c r="B6" s="8" t="str">
        <x:v>AI-001-CTRL-05</x:v>
      </x:c>
      <x:c r="C6" s="8" t="str">
        <x:v>AI-001</x:v>
      </x:c>
      <x:c r="D6" s="8" t="str">
        <x:v>Unassigned — example</x:v>
      </x:c>
      <x:c r="E6" s="8" t="str">
        <x:v>Provide meaningful trained review, override and stop capabilities</x:v>
      </x:c>
      <x:c r="F6" s="8" t="str">
        <x:v>Walk through disputed output, override and stop drill</x:v>
      </x:c>
      <x:c r="G6" s="8" t="str">
        <x:v>Authorized reviewer can intervene and halt unsafe use</x:v>
      </x:c>
      <x:c r="H6" s="8" t="str">
        <x:v>Not performed</x:v>
      </x:c>
      <x:c r="I6" s="8" t="str">
        <x:v>None — Not Tested</x:v>
      </x:c>
      <x:c r="J6" s="8" t="str">
        <x:v>Unassigned / no test date</x:v>
      </x:c>
      <x:c r="K6" s="8" t="str">
        <x:v>Not Tested</x:v>
      </x:c>
      <x:c r="L6" s="8" t="str">
        <x:v>No finding assessed; no corrective action asserted</x:v>
      </x:c>
      <x:c r="M6" s="8" t="str">
        <x:v>Not performed</x:v>
      </x:c>
      <x:c r="N6" s="8" t="str"/>
      <x:c r="O6" s="8" t="str">
        <x:v>Not Scheduled</x:v>
      </x:c>
    </x:row>
    <x:row r="7" ht="31" customHeight="1">
      <x:c r="A7" s="8" t="str">
        <x:v>PLAN-001-06</x:v>
      </x:c>
      <x:c r="B7" s="8" t="str">
        <x:v>AI-001-CTRL-06</x:v>
      </x:c>
      <x:c r="C7" s="8" t="str">
        <x:v>AI-001</x:v>
      </x:c>
      <x:c r="D7" s="8" t="str">
        <x:v>Unassigned — example</x:v>
      </x:c>
      <x:c r="E7" s="8" t="str">
        <x:v>Maintain intended use, limitations and decision documentation</x:v>
      </x:c>
      <x:c r="F7" s="8" t="str">
        <x:v>Inspect user guidance and system documentation</x:v>
      </x:c>
      <x:c r="G7" s="8" t="str">
        <x:v>Current documents state limitations and owners</x:v>
      </x:c>
      <x:c r="H7" s="8" t="str">
        <x:v>Not performed</x:v>
      </x:c>
      <x:c r="I7" s="8" t="str">
        <x:v>None — Not Tested</x:v>
      </x:c>
      <x:c r="J7" s="8" t="str">
        <x:v>Unassigned / no test date</x:v>
      </x:c>
      <x:c r="K7" s="8" t="str">
        <x:v>Not Tested</x:v>
      </x:c>
      <x:c r="L7" s="8" t="str">
        <x:v>No finding assessed; no corrective action asserted</x:v>
      </x:c>
      <x:c r="M7" s="8" t="str">
        <x:v>Not performed</x:v>
      </x:c>
      <x:c r="N7" s="8" t="str"/>
      <x:c r="O7" s="8" t="str">
        <x:v>Not Scheduled</x:v>
      </x:c>
    </x:row>
    <x:row r="8" ht="31" customHeight="1">
      <x:c r="A8" s="8" t="str">
        <x:v>PLAN-001-07</x:v>
      </x:c>
      <x:c r="B8" s="8" t="str">
        <x:v>AI-001-CTRL-07</x:v>
      </x:c>
      <x:c r="C8" s="8" t="str">
        <x:v>AI-001</x:v>
      </x:c>
      <x:c r="D8" s="8" t="str">
        <x:v>Unassigned — example</x:v>
      </x:c>
      <x:c r="E8" s="8" t="str">
        <x:v>Monitor behavior and reassess material modifications</x:v>
      </x:c>
      <x:c r="F8" s="8" t="str">
        <x:v>Review drift alert workflow and change approval scenario</x:v>
      </x:c>
      <x:c r="G8" s="8" t="str">
        <x:v>Alerts, reassessments and approvals properly recorded</x:v>
      </x:c>
      <x:c r="H8" s="8" t="str">
        <x:v>Not performed</x:v>
      </x:c>
      <x:c r="I8" s="8" t="str">
        <x:v>None — Not Tested</x:v>
      </x:c>
      <x:c r="J8" s="8" t="str">
        <x:v>Unassigned / no test date</x:v>
      </x:c>
      <x:c r="K8" s="8" t="str">
        <x:v>Not Tested</x:v>
      </x:c>
      <x:c r="L8" s="8" t="str">
        <x:v>No finding assessed; no corrective action asserted</x:v>
      </x:c>
      <x:c r="M8" s="8" t="str">
        <x:v>Not performed</x:v>
      </x:c>
      <x:c r="N8" s="8" t="str"/>
      <x:c r="O8" s="8" t="str">
        <x:v>Not Scheduled</x:v>
      </x:c>
    </x:row>
    <x:row r="9" ht="31" customHeight="1">
      <x:c r="A9" s="8" t="str">
        <x:v>PLAN-001-08</x:v>
      </x:c>
      <x:c r="B9" s="8" t="str">
        <x:v>AI-001-CTRL-08</x:v>
      </x:c>
      <x:c r="C9" s="8" t="str">
        <x:v>AI-001</x:v>
      </x:c>
      <x:c r="D9" s="8" t="str">
        <x:v>Unassigned — example</x:v>
      </x:c>
      <x:c r="E9" s="8" t="str">
        <x:v>Contain harmful outcomes and approve restart</x:v>
      </x:c>
      <x:c r="F9" s="8" t="str">
        <x:v>Run tabletop of containment, investigation and restart</x:v>
      </x:c>
      <x:c r="G9" s="8" t="str">
        <x:v>Affected function suspended; documented restart gate</x:v>
      </x:c>
      <x:c r="H9" s="8" t="str">
        <x:v>Not performed</x:v>
      </x:c>
      <x:c r="I9" s="8" t="str">
        <x:v>None — Not Tested</x:v>
      </x:c>
      <x:c r="J9" s="8" t="str">
        <x:v>Unassigned / no test date</x:v>
      </x:c>
      <x:c r="K9" s="8" t="str">
        <x:v>Not Tested</x:v>
      </x:c>
      <x:c r="L9" s="8" t="str">
        <x:v>No finding assessed; no corrective action asserted</x:v>
      </x:c>
      <x:c r="M9" s="8" t="str">
        <x:v>Not performed</x:v>
      </x:c>
      <x:c r="N9" s="8" t="str"/>
      <x:c r="O9" s="8" t="str">
        <x:v>Not Scheduled</x:v>
      </x:c>
    </x:row>
    <x:row r="10" ht="31" customHeight="1">
      <x:c r="A10" s="8" t="str">
        <x:v>PLAN-002-01</x:v>
      </x:c>
      <x:c r="B10" s="8" t="str">
        <x:v>AI-002-CTRL-01</x:v>
      </x:c>
      <x:c r="C10" s="8" t="str">
        <x:v>AI-002</x:v>
      </x:c>
      <x:c r="D10" s="8" t="str">
        <x:v>Unassigned — example</x:v>
      </x:c>
      <x:c r="E10" s="8" t="str">
        <x:v>Restrict collection, retention and reuse of processed data</x:v>
      </x:c>
      <x:c r="F10" s="8" t="str">
        <x:v>Inspect data flow and approved retention schedule</x:v>
      </x:c>
      <x:c r="G10" s="8" t="str">
        <x:v>Data handling matches authorized purpose</x:v>
      </x:c>
      <x:c r="H10" s="8" t="str">
        <x:v>Not performed</x:v>
      </x:c>
      <x:c r="I10" s="8" t="str">
        <x:v>None — Not Tested</x:v>
      </x:c>
      <x:c r="J10" s="8" t="str">
        <x:v>Unassigned / no test date</x:v>
      </x:c>
      <x:c r="K10" s="8" t="str">
        <x:v>Not Tested</x:v>
      </x:c>
      <x:c r="L10" s="8" t="str">
        <x:v>No finding assessed; no corrective action asserted</x:v>
      </x:c>
      <x:c r="M10" s="8" t="str">
        <x:v>Not performed</x:v>
      </x:c>
      <x:c r="N10" s="8" t="str"/>
      <x:c r="O10" s="8" t="str">
        <x:v>Not Scheduled</x:v>
      </x:c>
    </x:row>
    <x:row r="11" ht="31" customHeight="1">
      <x:c r="A11" s="8" t="str">
        <x:v>PLAN-002-02</x:v>
      </x:c>
      <x:c r="B11" s="8" t="str">
        <x:v>AI-002-CTRL-02</x:v>
      </x:c>
      <x:c r="C11" s="8" t="str">
        <x:v>AI-002</x:v>
      </x:c>
      <x:c r="D11" s="8" t="str">
        <x:v>Unassigned — example</x:v>
      </x:c>
      <x:c r="E11" s="8" t="str">
        <x:v>Enforce least-privilege access to system and logs</x:v>
      </x:c>
      <x:c r="F11" s="8" t="str">
        <x:v>Review access list and attempt prohibited access in test</x:v>
      </x:c>
      <x:c r="G11" s="8" t="str">
        <x:v>Unauthorized access denied; logging enabled</x:v>
      </x:c>
      <x:c r="H11" s="8" t="str">
        <x:v>Not performed</x:v>
      </x:c>
      <x:c r="I11" s="8" t="str">
        <x:v>None — Not Tested</x:v>
      </x:c>
      <x:c r="J11" s="8" t="str">
        <x:v>Unassigned / no test date</x:v>
      </x:c>
      <x:c r="K11" s="8" t="str">
        <x:v>Not Tested</x:v>
      </x:c>
      <x:c r="L11" s="8" t="str">
        <x:v>No finding assessed; no corrective action asserted</x:v>
      </x:c>
      <x:c r="M11" s="8" t="str">
        <x:v>Not performed</x:v>
      </x:c>
      <x:c r="N11" s="8" t="str"/>
      <x:c r="O11" s="8" t="str">
        <x:v>Not Scheduled</x:v>
      </x:c>
    </x:row>
    <x:row r="12" ht="31" customHeight="1">
      <x:c r="A12" s="8" t="str">
        <x:v>PLAN-002-03</x:v>
      </x:c>
      <x:c r="B12" s="8" t="str">
        <x:v>AI-002-CTRL-03</x:v>
      </x:c>
      <x:c r="C12" s="8" t="str">
        <x:v>AI-002</x:v>
      </x:c>
      <x:c r="D12" s="8" t="str">
        <x:v>Unassigned — example</x:v>
      </x:c>
      <x:c r="E12" s="8" t="str">
        <x:v>Validate system results against agreed performance criteria</x:v>
      </x:c>
      <x:c r="F12" s="8" t="str">
        <x:v>Sample outputs against reference cases</x:v>
      </x:c>
      <x:c r="G12" s="8" t="str">
        <x:v>Meets approved case-specific accuracy criteria</x:v>
      </x:c>
      <x:c r="H12" s="8" t="str">
        <x:v>Not performed</x:v>
      </x:c>
      <x:c r="I12" s="8" t="str">
        <x:v>None — Not Tested</x:v>
      </x:c>
      <x:c r="J12" s="8" t="str">
        <x:v>Unassigned / no test date</x:v>
      </x:c>
      <x:c r="K12" s="8" t="str">
        <x:v>Not Tested</x:v>
      </x:c>
      <x:c r="L12" s="8" t="str">
        <x:v>No finding assessed; no corrective action asserted</x:v>
      </x:c>
      <x:c r="M12" s="8" t="str">
        <x:v>Not performed</x:v>
      </x:c>
      <x:c r="N12" s="8" t="str"/>
      <x:c r="O12" s="8" t="str">
        <x:v>Not Scheduled</x:v>
      </x:c>
    </x:row>
    <x:row r="13" ht="31" customHeight="1">
      <x:c r="A13" s="8" t="str">
        <x:v>PLAN-002-04</x:v>
      </x:c>
      <x:c r="B13" s="8" t="str">
        <x:v>AI-002-CTRL-04</x:v>
      </x:c>
      <x:c r="C13" s="8" t="str">
        <x:v>AI-002</x:v>
      </x:c>
      <x:c r="D13" s="8" t="str">
        <x:v>Unassigned — example</x:v>
      </x:c>
      <x:c r="E13" s="8" t="str">
        <x:v>Assess material disparate or harmful impacts</x:v>
      </x:c>
      <x:c r="F13" s="8" t="str">
        <x:v>Review stratified impact testing plan and results</x:v>
      </x:c>
      <x:c r="G13" s="8" t="str">
        <x:v>No unresolved unacceptable differential harm</x:v>
      </x:c>
      <x:c r="H13" s="8" t="str">
        <x:v>Not performed</x:v>
      </x:c>
      <x:c r="I13" s="8" t="str">
        <x:v>None — Not Tested</x:v>
      </x:c>
      <x:c r="J13" s="8" t="str">
        <x:v>Unassigned / no test date</x:v>
      </x:c>
      <x:c r="K13" s="8" t="str">
        <x:v>Not Tested</x:v>
      </x:c>
      <x:c r="L13" s="8" t="str">
        <x:v>No finding assessed; no corrective action asserted</x:v>
      </x:c>
      <x:c r="M13" s="8" t="str">
        <x:v>Not performed</x:v>
      </x:c>
      <x:c r="N13" s="8" t="str"/>
      <x:c r="O13" s="8" t="str">
        <x:v>Not Scheduled</x:v>
      </x:c>
    </x:row>
    <x:row r="14" ht="31" customHeight="1">
      <x:c r="A14" s="8" t="str">
        <x:v>PLAN-002-05</x:v>
      </x:c>
      <x:c r="B14" s="8" t="str">
        <x:v>AI-002-CTRL-05</x:v>
      </x:c>
      <x:c r="C14" s="8" t="str">
        <x:v>AI-002</x:v>
      </x:c>
      <x:c r="D14" s="8" t="str">
        <x:v>Unassigned — example</x:v>
      </x:c>
      <x:c r="E14" s="8" t="str">
        <x:v>Provide meaningful trained review, override and stop capabilities</x:v>
      </x:c>
      <x:c r="F14" s="8" t="str">
        <x:v>Walk through disputed output, override and stop drill</x:v>
      </x:c>
      <x:c r="G14" s="8" t="str">
        <x:v>Authorized reviewer can intervene and halt unsafe use</x:v>
      </x:c>
      <x:c r="H14" s="8" t="str">
        <x:v>Not performed</x:v>
      </x:c>
      <x:c r="I14" s="8" t="str">
        <x:v>None — Not Tested</x:v>
      </x:c>
      <x:c r="J14" s="8" t="str">
        <x:v>Unassigned / no test date</x:v>
      </x:c>
      <x:c r="K14" s="8" t="str">
        <x:v>Not Tested</x:v>
      </x:c>
      <x:c r="L14" s="8" t="str">
        <x:v>No finding assessed; no corrective action asserted</x:v>
      </x:c>
      <x:c r="M14" s="8" t="str">
        <x:v>Not performed</x:v>
      </x:c>
      <x:c r="N14" s="8" t="str"/>
      <x:c r="O14" s="8" t="str">
        <x:v>Not Scheduled</x:v>
      </x:c>
    </x:row>
    <x:row r="15" ht="31" customHeight="1">
      <x:c r="A15" s="8" t="str">
        <x:v>PLAN-002-06</x:v>
      </x:c>
      <x:c r="B15" s="8" t="str">
        <x:v>AI-002-CTRL-06</x:v>
      </x:c>
      <x:c r="C15" s="8" t="str">
        <x:v>AI-002</x:v>
      </x:c>
      <x:c r="D15" s="8" t="str">
        <x:v>Unassigned — example</x:v>
      </x:c>
      <x:c r="E15" s="8" t="str">
        <x:v>Maintain intended use, limitations and decision documentation</x:v>
      </x:c>
      <x:c r="F15" s="8" t="str">
        <x:v>Inspect user guidance and system documentation</x:v>
      </x:c>
      <x:c r="G15" s="8" t="str">
        <x:v>Current documents state limitations and owners</x:v>
      </x:c>
      <x:c r="H15" s="8" t="str">
        <x:v>Not performed</x:v>
      </x:c>
      <x:c r="I15" s="8" t="str">
        <x:v>None — Not Tested</x:v>
      </x:c>
      <x:c r="J15" s="8" t="str">
        <x:v>Unassigned / no test date</x:v>
      </x:c>
      <x:c r="K15" s="8" t="str">
        <x:v>Not Tested</x:v>
      </x:c>
      <x:c r="L15" s="8" t="str">
        <x:v>No finding assessed; no corrective action asserted</x:v>
      </x:c>
      <x:c r="M15" s="8" t="str">
        <x:v>Not performed</x:v>
      </x:c>
      <x:c r="N15" s="8" t="str"/>
      <x:c r="O15" s="8" t="str">
        <x:v>Not Scheduled</x:v>
      </x:c>
    </x:row>
    <x:row r="16" ht="31" customHeight="1">
      <x:c r="A16" s="8" t="str">
        <x:v>PLAN-002-07</x:v>
      </x:c>
      <x:c r="B16" s="8" t="str">
        <x:v>AI-002-CTRL-07</x:v>
      </x:c>
      <x:c r="C16" s="8" t="str">
        <x:v>AI-002</x:v>
      </x:c>
      <x:c r="D16" s="8" t="str">
        <x:v>Unassigned — example</x:v>
      </x:c>
      <x:c r="E16" s="8" t="str">
        <x:v>Monitor behavior and reassess material modifications</x:v>
      </x:c>
      <x:c r="F16" s="8" t="str">
        <x:v>Review drift alert workflow and change approval scenario</x:v>
      </x:c>
      <x:c r="G16" s="8" t="str">
        <x:v>Alerts, reassessments and approvals properly recorded</x:v>
      </x:c>
      <x:c r="H16" s="8" t="str">
        <x:v>Not performed</x:v>
      </x:c>
      <x:c r="I16" s="8" t="str">
        <x:v>None — Not Tested</x:v>
      </x:c>
      <x:c r="J16" s="8" t="str">
        <x:v>Unassigned / no test date</x:v>
      </x:c>
      <x:c r="K16" s="8" t="str">
        <x:v>Not Tested</x:v>
      </x:c>
      <x:c r="L16" s="8" t="str">
        <x:v>No finding assessed; no corrective action asserted</x:v>
      </x:c>
      <x:c r="M16" s="8" t="str">
        <x:v>Not performed</x:v>
      </x:c>
      <x:c r="N16" s="8" t="str"/>
      <x:c r="O16" s="8" t="str">
        <x:v>Not Scheduled</x:v>
      </x:c>
    </x:row>
    <x:row r="17" ht="31" customHeight="1">
      <x:c r="A17" s="8" t="str">
        <x:v>PLAN-002-08</x:v>
      </x:c>
      <x:c r="B17" s="8" t="str">
        <x:v>AI-002-CTRL-08</x:v>
      </x:c>
      <x:c r="C17" s="8" t="str">
        <x:v>AI-002</x:v>
      </x:c>
      <x:c r="D17" s="8" t="str">
        <x:v>Unassigned — example</x:v>
      </x:c>
      <x:c r="E17" s="8" t="str">
        <x:v>Contain harmful outcomes and approve restart</x:v>
      </x:c>
      <x:c r="F17" s="8" t="str">
        <x:v>Run tabletop of containment, investigation and restart</x:v>
      </x:c>
      <x:c r="G17" s="8" t="str">
        <x:v>Affected function suspended; documented restart gate</x:v>
      </x:c>
      <x:c r="H17" s="8" t="str">
        <x:v>Not performed</x:v>
      </x:c>
      <x:c r="I17" s="8" t="str">
        <x:v>None — Not Tested</x:v>
      </x:c>
      <x:c r="J17" s="8" t="str">
        <x:v>Unassigned / no test date</x:v>
      </x:c>
      <x:c r="K17" s="8" t="str">
        <x:v>Not Tested</x:v>
      </x:c>
      <x:c r="L17" s="8" t="str">
        <x:v>No finding assessed; no corrective action asserted</x:v>
      </x:c>
      <x:c r="M17" s="8" t="str">
        <x:v>Not performed</x:v>
      </x:c>
      <x:c r="N17" s="8" t="str"/>
      <x:c r="O17" s="8" t="str">
        <x:v>Not Scheduled</x:v>
      </x:c>
    </x:row>
    <x:row r="18" ht="31" customHeight="1">
      <x:c r="A18" s="8" t="str">
        <x:v>PLAN-003-01</x:v>
      </x:c>
      <x:c r="B18" s="8" t="str">
        <x:v>AI-003-CTRL-01</x:v>
      </x:c>
      <x:c r="C18" s="8" t="str">
        <x:v>AI-003</x:v>
      </x:c>
      <x:c r="D18" s="8" t="str">
        <x:v>Unassigned — example</x:v>
      </x:c>
      <x:c r="E18" s="8" t="str">
        <x:v>Restrict collection, retention and reuse of processed data</x:v>
      </x:c>
      <x:c r="F18" s="8" t="str">
        <x:v>Inspect data flow and approved retention schedule</x:v>
      </x:c>
      <x:c r="G18" s="8" t="str">
        <x:v>Data handling matches authorized purpose</x:v>
      </x:c>
      <x:c r="H18" s="8" t="str">
        <x:v>Not performed</x:v>
      </x:c>
      <x:c r="I18" s="8" t="str">
        <x:v>None — Not Tested</x:v>
      </x:c>
      <x:c r="J18" s="8" t="str">
        <x:v>Unassigned / no test date</x:v>
      </x:c>
      <x:c r="K18" s="8" t="str">
        <x:v>Not Tested</x:v>
      </x:c>
      <x:c r="L18" s="8" t="str">
        <x:v>No finding assessed; no corrective action asserted</x:v>
      </x:c>
      <x:c r="M18" s="8" t="str">
        <x:v>Not performed</x:v>
      </x:c>
      <x:c r="N18" s="8" t="str"/>
      <x:c r="O18" s="8" t="str">
        <x:v>Not Scheduled</x:v>
      </x:c>
    </x:row>
    <x:row r="19" ht="31" customHeight="1">
      <x:c r="A19" s="8" t="str">
        <x:v>PLAN-003-02</x:v>
      </x:c>
      <x:c r="B19" s="8" t="str">
        <x:v>AI-003-CTRL-02</x:v>
      </x:c>
      <x:c r="C19" s="8" t="str">
        <x:v>AI-003</x:v>
      </x:c>
      <x:c r="D19" s="8" t="str">
        <x:v>Unassigned — example</x:v>
      </x:c>
      <x:c r="E19" s="8" t="str">
        <x:v>Enforce least-privilege access to system and logs</x:v>
      </x:c>
      <x:c r="F19" s="8" t="str">
        <x:v>Review access list and attempt prohibited access in test</x:v>
      </x:c>
      <x:c r="G19" s="8" t="str">
        <x:v>Unauthorized access denied; logging enabled</x:v>
      </x:c>
      <x:c r="H19" s="8" t="str">
        <x:v>Not performed</x:v>
      </x:c>
      <x:c r="I19" s="8" t="str">
        <x:v>None — Not Tested</x:v>
      </x:c>
      <x:c r="J19" s="8" t="str">
        <x:v>Unassigned / no test date</x:v>
      </x:c>
      <x:c r="K19" s="8" t="str">
        <x:v>Not Tested</x:v>
      </x:c>
      <x:c r="L19" s="8" t="str">
        <x:v>No finding assessed; no corrective action asserted</x:v>
      </x:c>
      <x:c r="M19" s="8" t="str">
        <x:v>Not performed</x:v>
      </x:c>
      <x:c r="N19" s="8" t="str"/>
      <x:c r="O19" s="8" t="str">
        <x:v>Not Scheduled</x:v>
      </x:c>
    </x:row>
    <x:row r="20" ht="31" customHeight="1">
      <x:c r="A20" s="8" t="str">
        <x:v>PLAN-003-03</x:v>
      </x:c>
      <x:c r="B20" s="8" t="str">
        <x:v>AI-003-CTRL-03</x:v>
      </x:c>
      <x:c r="C20" s="8" t="str">
        <x:v>AI-003</x:v>
      </x:c>
      <x:c r="D20" s="8" t="str">
        <x:v>Unassigned — example</x:v>
      </x:c>
      <x:c r="E20" s="8" t="str">
        <x:v>Validate system results against agreed performance criteria</x:v>
      </x:c>
      <x:c r="F20" s="8" t="str">
        <x:v>Sample outputs against reference cases</x:v>
      </x:c>
      <x:c r="G20" s="8" t="str">
        <x:v>Meets approved case-specific accuracy criteria</x:v>
      </x:c>
      <x:c r="H20" s="8" t="str">
        <x:v>Not performed</x:v>
      </x:c>
      <x:c r="I20" s="8" t="str">
        <x:v>None — Not Tested</x:v>
      </x:c>
      <x:c r="J20" s="8" t="str">
        <x:v>Unassigned / no test date</x:v>
      </x:c>
      <x:c r="K20" s="8" t="str">
        <x:v>Not Tested</x:v>
      </x:c>
      <x:c r="L20" s="8" t="str">
        <x:v>No finding assessed; no corrective action asserted</x:v>
      </x:c>
      <x:c r="M20" s="8" t="str">
        <x:v>Not performed</x:v>
      </x:c>
      <x:c r="N20" s="8" t="str"/>
      <x:c r="O20" s="8" t="str">
        <x:v>Not Scheduled</x:v>
      </x:c>
    </x:row>
    <x:row r="21" ht="31" customHeight="1">
      <x:c r="A21" s="8" t="str">
        <x:v>PLAN-003-04</x:v>
      </x:c>
      <x:c r="B21" s="8" t="str">
        <x:v>AI-003-CTRL-04</x:v>
      </x:c>
      <x:c r="C21" s="8" t="str">
        <x:v>AI-003</x:v>
      </x:c>
      <x:c r="D21" s="8" t="str">
        <x:v>Unassigned — example</x:v>
      </x:c>
      <x:c r="E21" s="8" t="str">
        <x:v>Assess material disparate or harmful impacts</x:v>
      </x:c>
      <x:c r="F21" s="8" t="str">
        <x:v>Review stratified impact testing plan and results</x:v>
      </x:c>
      <x:c r="G21" s="8" t="str">
        <x:v>No unresolved unacceptable differential harm</x:v>
      </x:c>
      <x:c r="H21" s="8" t="str">
        <x:v>Not performed</x:v>
      </x:c>
      <x:c r="I21" s="8" t="str">
        <x:v>None — Not Tested</x:v>
      </x:c>
      <x:c r="J21" s="8" t="str">
        <x:v>Unassigned / no test date</x:v>
      </x:c>
      <x:c r="K21" s="8" t="str">
        <x:v>Not Tested</x:v>
      </x:c>
      <x:c r="L21" s="8" t="str">
        <x:v>No finding assessed; no corrective action asserted</x:v>
      </x:c>
      <x:c r="M21" s="8" t="str">
        <x:v>Not performed</x:v>
      </x:c>
      <x:c r="N21" s="8" t="str"/>
      <x:c r="O21" s="8" t="str">
        <x:v>Not Scheduled</x:v>
      </x:c>
    </x:row>
    <x:row r="22" ht="31" customHeight="1">
      <x:c r="A22" s="8" t="str">
        <x:v>PLAN-003-05</x:v>
      </x:c>
      <x:c r="B22" s="8" t="str">
        <x:v>AI-003-CTRL-05</x:v>
      </x:c>
      <x:c r="C22" s="8" t="str">
        <x:v>AI-003</x:v>
      </x:c>
      <x:c r="D22" s="8" t="str">
        <x:v>Unassigned — example</x:v>
      </x:c>
      <x:c r="E22" s="8" t="str">
        <x:v>Provide meaningful trained review, override and stop capabilities</x:v>
      </x:c>
      <x:c r="F22" s="8" t="str">
        <x:v>Walk through disputed output, override and stop drill</x:v>
      </x:c>
      <x:c r="G22" s="8" t="str">
        <x:v>Authorized reviewer can intervene and halt unsafe use</x:v>
      </x:c>
      <x:c r="H22" s="8" t="str">
        <x:v>Not performed</x:v>
      </x:c>
      <x:c r="I22" s="8" t="str">
        <x:v>None — Not Tested</x:v>
      </x:c>
      <x:c r="J22" s="8" t="str">
        <x:v>Unassigned / no test date</x:v>
      </x:c>
      <x:c r="K22" s="8" t="str">
        <x:v>Not Tested</x:v>
      </x:c>
      <x:c r="L22" s="8" t="str">
        <x:v>No finding assessed; no corrective action asserted</x:v>
      </x:c>
      <x:c r="M22" s="8" t="str">
        <x:v>Not performed</x:v>
      </x:c>
      <x:c r="N22" s="8" t="str"/>
      <x:c r="O22" s="8" t="str">
        <x:v>Not Scheduled</x:v>
      </x:c>
    </x:row>
    <x:row r="23" ht="31" customHeight="1">
      <x:c r="A23" s="8" t="str">
        <x:v>PLAN-003-06</x:v>
      </x:c>
      <x:c r="B23" s="8" t="str">
        <x:v>AI-003-CTRL-06</x:v>
      </x:c>
      <x:c r="C23" s="8" t="str">
        <x:v>AI-003</x:v>
      </x:c>
      <x:c r="D23" s="8" t="str">
        <x:v>Unassigned — example</x:v>
      </x:c>
      <x:c r="E23" s="8" t="str">
        <x:v>Maintain intended use, limitations and decision documentation</x:v>
      </x:c>
      <x:c r="F23" s="8" t="str">
        <x:v>Inspect user guidance and system documentation</x:v>
      </x:c>
      <x:c r="G23" s="8" t="str">
        <x:v>Current documents state limitations and owners</x:v>
      </x:c>
      <x:c r="H23" s="8" t="str">
        <x:v>Not performed</x:v>
      </x:c>
      <x:c r="I23" s="8" t="str">
        <x:v>None — Not Tested</x:v>
      </x:c>
      <x:c r="J23" s="8" t="str">
        <x:v>Unassigned / no test date</x:v>
      </x:c>
      <x:c r="K23" s="8" t="str">
        <x:v>Not Tested</x:v>
      </x:c>
      <x:c r="L23" s="8" t="str">
        <x:v>No finding assessed; no corrective action asserted</x:v>
      </x:c>
      <x:c r="M23" s="8" t="str">
        <x:v>Not performed</x:v>
      </x:c>
      <x:c r="N23" s="8" t="str"/>
      <x:c r="O23" s="8" t="str">
        <x:v>Not Scheduled</x:v>
      </x:c>
    </x:row>
    <x:row r="24" ht="31" customHeight="1">
      <x:c r="A24" s="8" t="str">
        <x:v>PLAN-003-07</x:v>
      </x:c>
      <x:c r="B24" s="8" t="str">
        <x:v>AI-003-CTRL-07</x:v>
      </x:c>
      <x:c r="C24" s="8" t="str">
        <x:v>AI-003</x:v>
      </x:c>
      <x:c r="D24" s="8" t="str">
        <x:v>Unassigned — example</x:v>
      </x:c>
      <x:c r="E24" s="8" t="str">
        <x:v>Monitor behavior and reassess material modifications</x:v>
      </x:c>
      <x:c r="F24" s="8" t="str">
        <x:v>Review drift alert workflow and change approval scenario</x:v>
      </x:c>
      <x:c r="G24" s="8" t="str">
        <x:v>Alerts, reassessments and approvals properly recorded</x:v>
      </x:c>
      <x:c r="H24" s="8" t="str">
        <x:v>Not performed</x:v>
      </x:c>
      <x:c r="I24" s="8" t="str">
        <x:v>None — Not Tested</x:v>
      </x:c>
      <x:c r="J24" s="8" t="str">
        <x:v>Unassigned / no test date</x:v>
      </x:c>
      <x:c r="K24" s="8" t="str">
        <x:v>Not Tested</x:v>
      </x:c>
      <x:c r="L24" s="8" t="str">
        <x:v>No finding assessed; no corrective action asserted</x:v>
      </x:c>
      <x:c r="M24" s="8" t="str">
        <x:v>Not performed</x:v>
      </x:c>
      <x:c r="N24" s="8" t="str"/>
      <x:c r="O24" s="8" t="str">
        <x:v>Not Scheduled</x:v>
      </x:c>
    </x:row>
    <x:row r="25" ht="31" customHeight="1">
      <x:c r="A25" s="8" t="str">
        <x:v>PLAN-003-08</x:v>
      </x:c>
      <x:c r="B25" s="8" t="str">
        <x:v>AI-003-CTRL-08</x:v>
      </x:c>
      <x:c r="C25" s="8" t="str">
        <x:v>AI-003</x:v>
      </x:c>
      <x:c r="D25" s="8" t="str">
        <x:v>Unassigned — example</x:v>
      </x:c>
      <x:c r="E25" s="8" t="str">
        <x:v>Contain harmful outcomes and approve restart</x:v>
      </x:c>
      <x:c r="F25" s="8" t="str">
        <x:v>Run tabletop of containment, investigation and restart</x:v>
      </x:c>
      <x:c r="G25" s="8" t="str">
        <x:v>Affected function suspended; documented restart gate</x:v>
      </x:c>
      <x:c r="H25" s="8" t="str">
        <x:v>Not performed</x:v>
      </x:c>
      <x:c r="I25" s="8" t="str">
        <x:v>None — Not Tested</x:v>
      </x:c>
      <x:c r="J25" s="8" t="str">
        <x:v>Unassigned / no test date</x:v>
      </x:c>
      <x:c r="K25" s="8" t="str">
        <x:v>Not Tested</x:v>
      </x:c>
      <x:c r="L25" s="8" t="str">
        <x:v>No finding assessed; no corrective action asserted</x:v>
      </x:c>
      <x:c r="M25" s="8" t="str">
        <x:v>Not performed</x:v>
      </x:c>
      <x:c r="N25" s="8" t="str"/>
      <x:c r="O25" s="8" t="str">
        <x:v>Not Scheduled</x:v>
      </x:c>
    </x:row>
    <x:row r="26" ht="31" customHeight="1">
      <x:c r="A26" s="8" t="str">
        <x:v>PLAN-004-01</x:v>
      </x:c>
      <x:c r="B26" s="8" t="str">
        <x:v>AI-004-CTRL-01</x:v>
      </x:c>
      <x:c r="C26" s="8" t="str">
        <x:v>AI-004</x:v>
      </x:c>
      <x:c r="D26" s="8" t="str">
        <x:v>Unassigned — example</x:v>
      </x:c>
      <x:c r="E26" s="8" t="str">
        <x:v>Restrict collection, retention and reuse of processed data</x:v>
      </x:c>
      <x:c r="F26" s="8" t="str">
        <x:v>Inspect data flow and approved retention schedule</x:v>
      </x:c>
      <x:c r="G26" s="8" t="str">
        <x:v>Data handling matches authorized purpose</x:v>
      </x:c>
      <x:c r="H26" s="8" t="str">
        <x:v>Not performed</x:v>
      </x:c>
      <x:c r="I26" s="8" t="str">
        <x:v>None — Not Tested</x:v>
      </x:c>
      <x:c r="J26" s="8" t="str">
        <x:v>Unassigned / no test date</x:v>
      </x:c>
      <x:c r="K26" s="8" t="str">
        <x:v>Not Tested</x:v>
      </x:c>
      <x:c r="L26" s="8" t="str">
        <x:v>No finding assessed; no corrective action asserted</x:v>
      </x:c>
      <x:c r="M26" s="8" t="str">
        <x:v>Not performed</x:v>
      </x:c>
      <x:c r="N26" s="8" t="str"/>
      <x:c r="O26" s="8" t="str">
        <x:v>Not Scheduled</x:v>
      </x:c>
    </x:row>
    <x:row r="27" ht="31" customHeight="1">
      <x:c r="A27" s="8" t="str">
        <x:v>PLAN-004-02</x:v>
      </x:c>
      <x:c r="B27" s="8" t="str">
        <x:v>AI-004-CTRL-02</x:v>
      </x:c>
      <x:c r="C27" s="8" t="str">
        <x:v>AI-004</x:v>
      </x:c>
      <x:c r="D27" s="8" t="str">
        <x:v>Unassigned — example</x:v>
      </x:c>
      <x:c r="E27" s="8" t="str">
        <x:v>Enforce least-privilege access to system and logs</x:v>
      </x:c>
      <x:c r="F27" s="8" t="str">
        <x:v>Review access list and attempt prohibited access in test</x:v>
      </x:c>
      <x:c r="G27" s="8" t="str">
        <x:v>Unauthorized access denied; logging enabled</x:v>
      </x:c>
      <x:c r="H27" s="8" t="str">
        <x:v>Not performed</x:v>
      </x:c>
      <x:c r="I27" s="8" t="str">
        <x:v>None — Not Tested</x:v>
      </x:c>
      <x:c r="J27" s="8" t="str">
        <x:v>Unassigned / no test date</x:v>
      </x:c>
      <x:c r="K27" s="8" t="str">
        <x:v>Not Tested</x:v>
      </x:c>
      <x:c r="L27" s="8" t="str">
        <x:v>No finding assessed; no corrective action asserted</x:v>
      </x:c>
      <x:c r="M27" s="8" t="str">
        <x:v>Not performed</x:v>
      </x:c>
      <x:c r="N27" s="8" t="str"/>
      <x:c r="O27" s="8" t="str">
        <x:v>Not Scheduled</x:v>
      </x:c>
    </x:row>
    <x:row r="28" ht="31" customHeight="1">
      <x:c r="A28" s="8" t="str">
        <x:v>PLAN-004-03</x:v>
      </x:c>
      <x:c r="B28" s="8" t="str">
        <x:v>AI-004-CTRL-03</x:v>
      </x:c>
      <x:c r="C28" s="8" t="str">
        <x:v>AI-004</x:v>
      </x:c>
      <x:c r="D28" s="8" t="str">
        <x:v>Unassigned — example</x:v>
      </x:c>
      <x:c r="E28" s="8" t="str">
        <x:v>Validate system results against agreed performance criteria</x:v>
      </x:c>
      <x:c r="F28" s="8" t="str">
        <x:v>Sample outputs against reference cases</x:v>
      </x:c>
      <x:c r="G28" s="8" t="str">
        <x:v>Meets approved case-specific accuracy criteria</x:v>
      </x:c>
      <x:c r="H28" s="8" t="str">
        <x:v>Not performed</x:v>
      </x:c>
      <x:c r="I28" s="8" t="str">
        <x:v>None — Not Tested</x:v>
      </x:c>
      <x:c r="J28" s="8" t="str">
        <x:v>Unassigned / no test date</x:v>
      </x:c>
      <x:c r="K28" s="8" t="str">
        <x:v>Not Tested</x:v>
      </x:c>
      <x:c r="L28" s="8" t="str">
        <x:v>No finding assessed; no corrective action asserted</x:v>
      </x:c>
      <x:c r="M28" s="8" t="str">
        <x:v>Not performed</x:v>
      </x:c>
      <x:c r="N28" s="8" t="str"/>
      <x:c r="O28" s="8" t="str">
        <x:v>Not Scheduled</x:v>
      </x:c>
    </x:row>
    <x:row r="29" ht="31" customHeight="1">
      <x:c r="A29" s="8" t="str">
        <x:v>PLAN-004-04</x:v>
      </x:c>
      <x:c r="B29" s="8" t="str">
        <x:v>AI-004-CTRL-04</x:v>
      </x:c>
      <x:c r="C29" s="8" t="str">
        <x:v>AI-004</x:v>
      </x:c>
      <x:c r="D29" s="8" t="str">
        <x:v>Unassigned — example</x:v>
      </x:c>
      <x:c r="E29" s="8" t="str">
        <x:v>Assess material disparate or harmful impacts</x:v>
      </x:c>
      <x:c r="F29" s="8" t="str">
        <x:v>Review stratified impact testing plan and results</x:v>
      </x:c>
      <x:c r="G29" s="8" t="str">
        <x:v>No unresolved unacceptable differential harm</x:v>
      </x:c>
      <x:c r="H29" s="8" t="str">
        <x:v>Not performed</x:v>
      </x:c>
      <x:c r="I29" s="8" t="str">
        <x:v>None — Not Tested</x:v>
      </x:c>
      <x:c r="J29" s="8" t="str">
        <x:v>Unassigned / no test date</x:v>
      </x:c>
      <x:c r="K29" s="8" t="str">
        <x:v>Not Tested</x:v>
      </x:c>
      <x:c r="L29" s="8" t="str">
        <x:v>No finding assessed; no corrective action asserted</x:v>
      </x:c>
      <x:c r="M29" s="8" t="str">
        <x:v>Not performed</x:v>
      </x:c>
      <x:c r="N29" s="8" t="str"/>
      <x:c r="O29" s="8" t="str">
        <x:v>Not Scheduled</x:v>
      </x:c>
    </x:row>
    <x:row r="30" ht="31" customHeight="1">
      <x:c r="A30" s="8" t="str">
        <x:v>PLAN-004-05</x:v>
      </x:c>
      <x:c r="B30" s="8" t="str">
        <x:v>AI-004-CTRL-05</x:v>
      </x:c>
      <x:c r="C30" s="8" t="str">
        <x:v>AI-004</x:v>
      </x:c>
      <x:c r="D30" s="8" t="str">
        <x:v>Unassigned — example</x:v>
      </x:c>
      <x:c r="E30" s="8" t="str">
        <x:v>Provide meaningful trained review, override and stop capabilities</x:v>
      </x:c>
      <x:c r="F30" s="8" t="str">
        <x:v>Walk through disputed output, override and stop drill</x:v>
      </x:c>
      <x:c r="G30" s="8" t="str">
        <x:v>Authorized reviewer can intervene and halt unsafe use</x:v>
      </x:c>
      <x:c r="H30" s="8" t="str">
        <x:v>Not performed</x:v>
      </x:c>
      <x:c r="I30" s="8" t="str">
        <x:v>None — Not Tested</x:v>
      </x:c>
      <x:c r="J30" s="8" t="str">
        <x:v>Unassigned / no test date</x:v>
      </x:c>
      <x:c r="K30" s="8" t="str">
        <x:v>Not Tested</x:v>
      </x:c>
      <x:c r="L30" s="8" t="str">
        <x:v>No finding assessed; no corrective action asserted</x:v>
      </x:c>
      <x:c r="M30" s="8" t="str">
        <x:v>Not performed</x:v>
      </x:c>
      <x:c r="N30" s="8" t="str"/>
      <x:c r="O30" s="8" t="str">
        <x:v>Not Scheduled</x:v>
      </x:c>
    </x:row>
    <x:row r="31" ht="31" customHeight="1">
      <x:c r="A31" s="8" t="str">
        <x:v>PLAN-004-06</x:v>
      </x:c>
      <x:c r="B31" s="8" t="str">
        <x:v>AI-004-CTRL-06</x:v>
      </x:c>
      <x:c r="C31" s="8" t="str">
        <x:v>AI-004</x:v>
      </x:c>
      <x:c r="D31" s="8" t="str">
        <x:v>Unassigned — example</x:v>
      </x:c>
      <x:c r="E31" s="8" t="str">
        <x:v>Maintain intended use, limitations and decision documentation</x:v>
      </x:c>
      <x:c r="F31" s="8" t="str">
        <x:v>Inspect user guidance and system documentation</x:v>
      </x:c>
      <x:c r="G31" s="8" t="str">
        <x:v>Current documents state limitations and owners</x:v>
      </x:c>
      <x:c r="H31" s="8" t="str">
        <x:v>Not performed</x:v>
      </x:c>
      <x:c r="I31" s="8" t="str">
        <x:v>None — Not Tested</x:v>
      </x:c>
      <x:c r="J31" s="8" t="str">
        <x:v>Unassigned / no test date</x:v>
      </x:c>
      <x:c r="K31" s="8" t="str">
        <x:v>Not Tested</x:v>
      </x:c>
      <x:c r="L31" s="8" t="str">
        <x:v>No finding assessed; no corrective action asserted</x:v>
      </x:c>
      <x:c r="M31" s="8" t="str">
        <x:v>Not performed</x:v>
      </x:c>
      <x:c r="N31" s="8" t="str"/>
      <x:c r="O31" s="8" t="str">
        <x:v>Not Scheduled</x:v>
      </x:c>
    </x:row>
    <x:row r="32" ht="31" customHeight="1">
      <x:c r="A32" s="8" t="str">
        <x:v>PLAN-004-07</x:v>
      </x:c>
      <x:c r="B32" s="8" t="str">
        <x:v>AI-004-CTRL-07</x:v>
      </x:c>
      <x:c r="C32" s="8" t="str">
        <x:v>AI-004</x:v>
      </x:c>
      <x:c r="D32" s="8" t="str">
        <x:v>Unassigned — example</x:v>
      </x:c>
      <x:c r="E32" s="8" t="str">
        <x:v>Monitor behavior and reassess material modifications</x:v>
      </x:c>
      <x:c r="F32" s="8" t="str">
        <x:v>Review drift alert workflow and change approval scenario</x:v>
      </x:c>
      <x:c r="G32" s="8" t="str">
        <x:v>Alerts, reassessments and approvals properly recorded</x:v>
      </x:c>
      <x:c r="H32" s="8" t="str">
        <x:v>Not performed</x:v>
      </x:c>
      <x:c r="I32" s="8" t="str">
        <x:v>None — Not Tested</x:v>
      </x:c>
      <x:c r="J32" s="8" t="str">
        <x:v>Unassigned / no test date</x:v>
      </x:c>
      <x:c r="K32" s="8" t="str">
        <x:v>Not Tested</x:v>
      </x:c>
      <x:c r="L32" s="8" t="str">
        <x:v>No finding assessed; no corrective action asserted</x:v>
      </x:c>
      <x:c r="M32" s="8" t="str">
        <x:v>Not performed</x:v>
      </x:c>
      <x:c r="N32" s="8" t="str"/>
      <x:c r="O32" s="8" t="str">
        <x:v>Not Scheduled</x:v>
      </x:c>
    </x:row>
    <x:row r="33" ht="31" customHeight="1">
      <x:c r="A33" s="8" t="str">
        <x:v>PLAN-004-08</x:v>
      </x:c>
      <x:c r="B33" s="8" t="str">
        <x:v>AI-004-CTRL-08</x:v>
      </x:c>
      <x:c r="C33" s="8" t="str">
        <x:v>AI-004</x:v>
      </x:c>
      <x:c r="D33" s="8" t="str">
        <x:v>Unassigned — example</x:v>
      </x:c>
      <x:c r="E33" s="8" t="str">
        <x:v>Contain harmful outcomes and approve restart</x:v>
      </x:c>
      <x:c r="F33" s="8" t="str">
        <x:v>Run tabletop of containment, investigation and restart</x:v>
      </x:c>
      <x:c r="G33" s="8" t="str">
        <x:v>Affected function suspended; documented restart gate</x:v>
      </x:c>
      <x:c r="H33" s="8" t="str">
        <x:v>Not performed</x:v>
      </x:c>
      <x:c r="I33" s="8" t="str">
        <x:v>None — Not Tested</x:v>
      </x:c>
      <x:c r="J33" s="8" t="str">
        <x:v>Unassigned / no test date</x:v>
      </x:c>
      <x:c r="K33" s="8" t="str">
        <x:v>Not Tested</x:v>
      </x:c>
      <x:c r="L33" s="8" t="str">
        <x:v>No finding assessed; no corrective action asserted</x:v>
      </x:c>
      <x:c r="M33" s="8" t="str">
        <x:v>Not performed</x:v>
      </x:c>
      <x:c r="N33" s="8" t="str"/>
      <x:c r="O33" s="8" t="str">
        <x:v>Not Scheduled</x:v>
      </x:c>
    </x:row>
    <x:row r="34" ht="31" customHeight="1">
      <x:c r="A34" s="8" t="str">
        <x:v>PLAN-005-01</x:v>
      </x:c>
      <x:c r="B34" s="8" t="str">
        <x:v>AI-005-CTRL-01</x:v>
      </x:c>
      <x:c r="C34" s="8" t="str">
        <x:v>AI-005</x:v>
      </x:c>
      <x:c r="D34" s="8" t="str">
        <x:v>Unassigned — example</x:v>
      </x:c>
      <x:c r="E34" s="8" t="str">
        <x:v>Restrict collection, retention and reuse of processed data</x:v>
      </x:c>
      <x:c r="F34" s="8" t="str">
        <x:v>Inspect data flow and approved retention schedule</x:v>
      </x:c>
      <x:c r="G34" s="8" t="str">
        <x:v>Data handling matches authorized purpose</x:v>
      </x:c>
      <x:c r="H34" s="8" t="str">
        <x:v>Not performed</x:v>
      </x:c>
      <x:c r="I34" s="8" t="str">
        <x:v>None — Not Tested</x:v>
      </x:c>
      <x:c r="J34" s="8" t="str">
        <x:v>Unassigned / no test date</x:v>
      </x:c>
      <x:c r="K34" s="8" t="str">
        <x:v>Not Tested</x:v>
      </x:c>
      <x:c r="L34" s="8" t="str">
        <x:v>No finding assessed; no corrective action asserted</x:v>
      </x:c>
      <x:c r="M34" s="8" t="str">
        <x:v>Not performed</x:v>
      </x:c>
      <x:c r="N34" s="8" t="str"/>
      <x:c r="O34" s="8" t="str">
        <x:v>Not Scheduled</x:v>
      </x:c>
    </x:row>
    <x:row r="35" ht="31" customHeight="1">
      <x:c r="A35" s="8" t="str">
        <x:v>PLAN-005-02</x:v>
      </x:c>
      <x:c r="B35" s="8" t="str">
        <x:v>AI-005-CTRL-02</x:v>
      </x:c>
      <x:c r="C35" s="8" t="str">
        <x:v>AI-005</x:v>
      </x:c>
      <x:c r="D35" s="8" t="str">
        <x:v>Unassigned — example</x:v>
      </x:c>
      <x:c r="E35" s="8" t="str">
        <x:v>Enforce least-privilege access to system and logs</x:v>
      </x:c>
      <x:c r="F35" s="8" t="str">
        <x:v>Review access list and attempt prohibited access in test</x:v>
      </x:c>
      <x:c r="G35" s="8" t="str">
        <x:v>Unauthorized access denied; logging enabled</x:v>
      </x:c>
      <x:c r="H35" s="8" t="str">
        <x:v>Not performed</x:v>
      </x:c>
      <x:c r="I35" s="8" t="str">
        <x:v>None — Not Tested</x:v>
      </x:c>
      <x:c r="J35" s="8" t="str">
        <x:v>Unassigned / no test date</x:v>
      </x:c>
      <x:c r="K35" s="8" t="str">
        <x:v>Not Tested</x:v>
      </x:c>
      <x:c r="L35" s="8" t="str">
        <x:v>No finding assessed; no corrective action asserted</x:v>
      </x:c>
      <x:c r="M35" s="8" t="str">
        <x:v>Not performed</x:v>
      </x:c>
      <x:c r="N35" s="8" t="str"/>
      <x:c r="O35" s="8" t="str">
        <x:v>Not Scheduled</x:v>
      </x:c>
    </x:row>
    <x:row r="36" ht="31" customHeight="1">
      <x:c r="A36" s="8" t="str">
        <x:v>PLAN-005-03</x:v>
      </x:c>
      <x:c r="B36" s="8" t="str">
        <x:v>AI-005-CTRL-03</x:v>
      </x:c>
      <x:c r="C36" s="8" t="str">
        <x:v>AI-005</x:v>
      </x:c>
      <x:c r="D36" s="8" t="str">
        <x:v>Unassigned — example</x:v>
      </x:c>
      <x:c r="E36" s="8" t="str">
        <x:v>Validate system results against agreed performance criteria</x:v>
      </x:c>
      <x:c r="F36" s="8" t="str">
        <x:v>Sample outputs against reference cases</x:v>
      </x:c>
      <x:c r="G36" s="8" t="str">
        <x:v>Meets approved case-specific accuracy criteria</x:v>
      </x:c>
      <x:c r="H36" s="8" t="str">
        <x:v>Not performed</x:v>
      </x:c>
      <x:c r="I36" s="8" t="str">
        <x:v>None — Not Tested</x:v>
      </x:c>
      <x:c r="J36" s="8" t="str">
        <x:v>Unassigned / no test date</x:v>
      </x:c>
      <x:c r="K36" s="8" t="str">
        <x:v>Not Tested</x:v>
      </x:c>
      <x:c r="L36" s="8" t="str">
        <x:v>No finding assessed; no corrective action asserted</x:v>
      </x:c>
      <x:c r="M36" s="8" t="str">
        <x:v>Not performed</x:v>
      </x:c>
      <x:c r="N36" s="8" t="str"/>
      <x:c r="O36" s="8" t="str">
        <x:v>Not Scheduled</x:v>
      </x:c>
    </x:row>
    <x:row r="37" ht="31" customHeight="1">
      <x:c r="A37" s="8" t="str">
        <x:v>PLAN-005-04</x:v>
      </x:c>
      <x:c r="B37" s="8" t="str">
        <x:v>AI-005-CTRL-04</x:v>
      </x:c>
      <x:c r="C37" s="8" t="str">
        <x:v>AI-005</x:v>
      </x:c>
      <x:c r="D37" s="8" t="str">
        <x:v>Unassigned — example</x:v>
      </x:c>
      <x:c r="E37" s="8" t="str">
        <x:v>Assess material disparate or harmful impacts</x:v>
      </x:c>
      <x:c r="F37" s="8" t="str">
        <x:v>Review stratified impact testing plan and results</x:v>
      </x:c>
      <x:c r="G37" s="8" t="str">
        <x:v>No unresolved unacceptable differential harm</x:v>
      </x:c>
      <x:c r="H37" s="8" t="str">
        <x:v>Not performed</x:v>
      </x:c>
      <x:c r="I37" s="8" t="str">
        <x:v>None — Not Tested</x:v>
      </x:c>
      <x:c r="J37" s="8" t="str">
        <x:v>Unassigned / no test date</x:v>
      </x:c>
      <x:c r="K37" s="8" t="str">
        <x:v>Not Tested</x:v>
      </x:c>
      <x:c r="L37" s="8" t="str">
        <x:v>No finding assessed; no corrective action asserted</x:v>
      </x:c>
      <x:c r="M37" s="8" t="str">
        <x:v>Not performed</x:v>
      </x:c>
      <x:c r="N37" s="8" t="str"/>
      <x:c r="O37" s="8" t="str">
        <x:v>Not Scheduled</x:v>
      </x:c>
    </x:row>
    <x:row r="38" ht="31" customHeight="1">
      <x:c r="A38" s="8" t="str">
        <x:v>PLAN-005-05</x:v>
      </x:c>
      <x:c r="B38" s="8" t="str">
        <x:v>AI-005-CTRL-05</x:v>
      </x:c>
      <x:c r="C38" s="8" t="str">
        <x:v>AI-005</x:v>
      </x:c>
      <x:c r="D38" s="8" t="str">
        <x:v>Unassigned — example</x:v>
      </x:c>
      <x:c r="E38" s="8" t="str">
        <x:v>Provide meaningful trained review, override and stop capabilities</x:v>
      </x:c>
      <x:c r="F38" s="8" t="str">
        <x:v>Walk through disputed output, override and stop drill</x:v>
      </x:c>
      <x:c r="G38" s="8" t="str">
        <x:v>Authorized reviewer can intervene and halt unsafe use</x:v>
      </x:c>
      <x:c r="H38" s="8" t="str">
        <x:v>Not performed</x:v>
      </x:c>
      <x:c r="I38" s="8" t="str">
        <x:v>None — Not Tested</x:v>
      </x:c>
      <x:c r="J38" s="8" t="str">
        <x:v>Unassigned / no test date</x:v>
      </x:c>
      <x:c r="K38" s="8" t="str">
        <x:v>Not Tested</x:v>
      </x:c>
      <x:c r="L38" s="8" t="str">
        <x:v>No finding assessed; no corrective action asserted</x:v>
      </x:c>
      <x:c r="M38" s="8" t="str">
        <x:v>Not performed</x:v>
      </x:c>
      <x:c r="N38" s="8" t="str"/>
      <x:c r="O38" s="8" t="str">
        <x:v>Not Scheduled</x:v>
      </x:c>
    </x:row>
    <x:row r="39" ht="31" customHeight="1">
      <x:c r="A39" s="8" t="str">
        <x:v>PLAN-005-06</x:v>
      </x:c>
      <x:c r="B39" s="8" t="str">
        <x:v>AI-005-CTRL-06</x:v>
      </x:c>
      <x:c r="C39" s="8" t="str">
        <x:v>AI-005</x:v>
      </x:c>
      <x:c r="D39" s="8" t="str">
        <x:v>Unassigned — example</x:v>
      </x:c>
      <x:c r="E39" s="8" t="str">
        <x:v>Maintain intended use, limitations and decision documentation</x:v>
      </x:c>
      <x:c r="F39" s="8" t="str">
        <x:v>Inspect user guidance and system documentation</x:v>
      </x:c>
      <x:c r="G39" s="8" t="str">
        <x:v>Current documents state limitations and owners</x:v>
      </x:c>
      <x:c r="H39" s="8" t="str">
        <x:v>Not performed</x:v>
      </x:c>
      <x:c r="I39" s="8" t="str">
        <x:v>None — Not Tested</x:v>
      </x:c>
      <x:c r="J39" s="8" t="str">
        <x:v>Unassigned / no test date</x:v>
      </x:c>
      <x:c r="K39" s="8" t="str">
        <x:v>Not Tested</x:v>
      </x:c>
      <x:c r="L39" s="8" t="str">
        <x:v>No finding assessed; no corrective action asserted</x:v>
      </x:c>
      <x:c r="M39" s="8" t="str">
        <x:v>Not performed</x:v>
      </x:c>
      <x:c r="N39" s="8" t="str"/>
      <x:c r="O39" s="8" t="str">
        <x:v>Not Scheduled</x:v>
      </x:c>
    </x:row>
    <x:row r="40" ht="31" customHeight="1">
      <x:c r="A40" s="8" t="str">
        <x:v>PLAN-005-07</x:v>
      </x:c>
      <x:c r="B40" s="8" t="str">
        <x:v>AI-005-CTRL-07</x:v>
      </x:c>
      <x:c r="C40" s="8" t="str">
        <x:v>AI-005</x:v>
      </x:c>
      <x:c r="D40" s="8" t="str">
        <x:v>Unassigned — example</x:v>
      </x:c>
      <x:c r="E40" s="8" t="str">
        <x:v>Monitor behavior and reassess material modifications</x:v>
      </x:c>
      <x:c r="F40" s="8" t="str">
        <x:v>Review drift alert workflow and change approval scenario</x:v>
      </x:c>
      <x:c r="G40" s="8" t="str">
        <x:v>Alerts, reassessments and approvals properly recorded</x:v>
      </x:c>
      <x:c r="H40" s="8" t="str">
        <x:v>Not performed</x:v>
      </x:c>
      <x:c r="I40" s="8" t="str">
        <x:v>None — Not Tested</x:v>
      </x:c>
      <x:c r="J40" s="8" t="str">
        <x:v>Unassigned / no test date</x:v>
      </x:c>
      <x:c r="K40" s="8" t="str">
        <x:v>Not Tested</x:v>
      </x:c>
      <x:c r="L40" s="8" t="str">
        <x:v>No finding assessed; no corrective action asserted</x:v>
      </x:c>
      <x:c r="M40" s="8" t="str">
        <x:v>Not performed</x:v>
      </x:c>
      <x:c r="N40" s="8" t="str"/>
      <x:c r="O40" s="8" t="str">
        <x:v>Not Scheduled</x:v>
      </x:c>
    </x:row>
    <x:row r="41" ht="31" customHeight="1">
      <x:c r="A41" s="8" t="str">
        <x:v>PLAN-005-08</x:v>
      </x:c>
      <x:c r="B41" s="8" t="str">
        <x:v>AI-005-CTRL-08</x:v>
      </x:c>
      <x:c r="C41" s="8" t="str">
        <x:v>AI-005</x:v>
      </x:c>
      <x:c r="D41" s="8" t="str">
        <x:v>Unassigned — example</x:v>
      </x:c>
      <x:c r="E41" s="8" t="str">
        <x:v>Contain harmful outcomes and approve restart</x:v>
      </x:c>
      <x:c r="F41" s="8" t="str">
        <x:v>Run tabletop of containment, investigation and restart</x:v>
      </x:c>
      <x:c r="G41" s="8" t="str">
        <x:v>Affected function suspended; documented restart gate</x:v>
      </x:c>
      <x:c r="H41" s="8" t="str">
        <x:v>Not performed</x:v>
      </x:c>
      <x:c r="I41" s="8" t="str">
        <x:v>None — Not Tested</x:v>
      </x:c>
      <x:c r="J41" s="8" t="str">
        <x:v>Unassigned / no test date</x:v>
      </x:c>
      <x:c r="K41" s="8" t="str">
        <x:v>Not Tested</x:v>
      </x:c>
      <x:c r="L41" s="8" t="str">
        <x:v>No finding assessed; no corrective action asserted</x:v>
      </x:c>
      <x:c r="M41" s="8" t="str">
        <x:v>Not performed</x:v>
      </x:c>
      <x:c r="N41" s="8" t="str"/>
      <x:c r="O41" s="8" t="str">
        <x:v>Not Scheduled</x:v>
      </x:c>
    </x:row>
  </x:sheetData>
  <x:dataValidations count="2">
    <x:dataValidation type="list" sqref="K2:K201">
      <x:formula1>"Effective,Partially Effective,Ineffective,Not Tested,Not Applicable"</x:formula1>
    </x:dataValidation>
    <x:dataValidation type="list" sqref="O2:O201">
      <x:formula1>"Not Scheduled,Scheduled,In Progress,Evidence Pending,Completed,Remediation Open,Retest Pending,Closed"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4" hidden="0" customWidth="1"/>
    <x:col min="3" max="3" width="16" hidden="0" customWidth="1"/>
    <x:col min="4" max="4" width="18" hidden="0" customWidth="1"/>
    <x:col min="5" max="5" width="21" hidden="0" customWidth="1"/>
    <x:col min="6" max="6" width="20" hidden="0" customWidth="1"/>
    <x:col min="7" max="7" width="20" hidden="0" customWidth="1"/>
    <x:col min="8" max="8" width="22" hidden="0" customWidth="1"/>
    <x:col min="9" max="9" width="35" hidden="0" customWidth="1"/>
    <x:col min="10" max="10" width="35" hidden="0" customWidth="1"/>
    <x:col min="11" max="11" width="32" hidden="0" customWidth="1"/>
    <x:col min="12" max="12" width="21" hidden="0" customWidth="1"/>
    <x:col min="13" max="13" width="19" hidden="0" customWidth="1"/>
    <x:col min="14" max="14" width="32" hidden="0" customWidth="1"/>
    <x:col min="15" max="15" width="22" hidden="0" customWidth="1"/>
    <x:col min="16" max="16" width="20" hidden="0" customWidth="1"/>
    <x:col min="17" max="17" width="30" hidden="0" customWidth="1"/>
    <x:col min="18" max="18" width="24" hidden="0" customWidth="1"/>
  </x:cols>
  <x:sheetData>
    <x:row r="1" ht="30" customHeight="1">
      <x:c r="A1" s="4" t="str">
        <x:v>Test ID</x:v>
      </x:c>
      <x:c r="B1" s="4" t="str">
        <x:v>Control ID</x:v>
      </x:c>
      <x:c r="C1" s="4" t="str">
        <x:v>AI System ID</x:v>
      </x:c>
      <x:c r="D1" s="4" t="str">
        <x:v>Execution date</x:v>
      </x:c>
      <x:c r="E1" s="4" t="str">
        <x:v>Tester</x:v>
      </x:c>
      <x:c r="F1" s="4" t="str">
        <x:v>Status from</x:v>
      </x:c>
      <x:c r="G1" s="4" t="str">
        <x:v>Status to</x:v>
      </x:c>
      <x:c r="H1" s="4" t="str">
        <x:v>Procedure version</x:v>
      </x:c>
      <x:c r="I1" s="4" t="str">
        <x:v>Expected</x:v>
      </x:c>
      <x:c r="J1" s="4" t="str">
        <x:v>Actual</x:v>
      </x:c>
      <x:c r="K1" s="4" t="str">
        <x:v>Evidence reference</x:v>
      </x:c>
      <x:c r="L1" s="4" t="str">
        <x:v>Effectiveness</x:v>
      </x:c>
      <x:c r="M1" s="4" t="str">
        <x:v>Finding ID</x:v>
      </x:c>
      <x:c r="N1" s="4" t="str">
        <x:v>Remediation</x:v>
      </x:c>
      <x:c r="O1" s="4" t="str">
        <x:v>Independent reviewer</x:v>
      </x:c>
      <x:c r="P1" s="4" t="str">
        <x:v>Verification date</x:v>
      </x:c>
      <x:c r="Q1" s="4" t="str">
        <x:v>Reviewer decision</x:v>
      </x:c>
      <x:c r="R1" s="4" t="str">
        <x:v>Entered by / date</x:v>
      </x:c>
    </x:row>
    <x:row r="2" ht="31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7" hidden="0" customWidth="1"/>
    <x:col min="4" max="4" width="40" hidden="0" customWidth="1"/>
    <x:col min="5" max="5" width="25" hidden="0" customWidth="1"/>
    <x:col min="6" max="6" width="43" hidden="0" customWidth="1"/>
    <x:col min="7" max="7" width="19" hidden="0" customWidth="1"/>
    <x:col min="8" max="8" width="23" hidden="0" customWidth="1"/>
    <x:col min="9" max="9" width="35" hidden="0" customWidth="1"/>
    <x:col min="10" max="10" width="18" hidden="0" customWidth="1"/>
    <x:col min="11" max="11" width="25" hidden="0" customWidth="1"/>
    <x:col min="12" max="12" width="19" hidden="0" customWidth="1"/>
  </x:cols>
  <x:sheetData>
    <x:row r="1" ht="30" customHeight="1">
      <x:c r="A1" s="4" t="str">
        <x:v>Finding ID</x:v>
      </x:c>
      <x:c r="B1" s="4" t="str">
        <x:v>Control ID</x:v>
      </x:c>
      <x:c r="C1" s="4" t="str">
        <x:v>Severity</x:v>
      </x:c>
      <x:c r="D1" s="4" t="str">
        <x:v>Description</x:v>
      </x:c>
      <x:c r="E1" s="4" t="str">
        <x:v>Remediation owner</x:v>
      </x:c>
      <x:c r="F1" s="4" t="str">
        <x:v>Corrective action</x:v>
      </x:c>
      <x:c r="G1" s="4" t="str">
        <x:v>Target date</x:v>
      </x:c>
      <x:c r="H1" s="4" t="str">
        <x:v>Finding status</x:v>
      </x:c>
      <x:c r="I1" s="4" t="str">
        <x:v>Evidence reference</x:v>
      </x:c>
      <x:c r="J1" s="4" t="str">
        <x:v>Retest ID</x:v>
      </x:c>
      <x:c r="K1" s="4" t="str">
        <x:v>Independent verifier</x:v>
      </x:c>
      <x:c r="L1" s="4" t="str">
        <x:v>Closure date</x:v>
      </x:c>
    </x:row>
    <x:row r="2" ht="31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42" hidden="0" customWidth="1"/>
    <x:col min="4" max="4" width="25" hidden="0" customWidth="1"/>
    <x:col min="5" max="5" width="42" hidden="0" customWidth="1"/>
    <x:col min="6" max="6" width="22" hidden="0" customWidth="1"/>
    <x:col min="7" max="7" width="30" hidden="0" customWidth="1"/>
    <x:col min="8" max="8" width="32" hidden="0" customWidth="1"/>
    <x:col min="9" max="9" width="17" hidden="0" customWidth="1"/>
    <x:col min="10" max="10" width="19" hidden="0" customWidth="1"/>
    <x:col min="11" max="11" width="19" hidden="0" customWidth="1"/>
    <x:col min="12" max="12" width="32" hidden="0" customWidth="1"/>
    <x:col min="13" max="13" width="18" hidden="0" customWidth="1"/>
  </x:cols>
  <x:sheetData>
    <x:row r="1" ht="30" customHeight="1">
      <x:c r="A1" s="4" t="str">
        <x:v>Exception ID</x:v>
      </x:c>
      <x:c r="B1" s="4" t="str">
        <x:v>Control ID</x:v>
      </x:c>
      <x:c r="C1" s="4" t="str">
        <x:v>Written justification</x:v>
      </x:c>
      <x:c r="D1" s="4" t="str">
        <x:v>Risk assessment ref</x:v>
      </x:c>
      <x:c r="E1" s="4" t="str">
        <x:v>Compensating controls</x:v>
      </x:c>
      <x:c r="F1" s="4" t="str">
        <x:v>Requested by</x:v>
      </x:c>
      <x:c r="G1" s="4" t="str">
        <x:v>Risk approval authority</x:v>
      </x:c>
      <x:c r="H1" s="4" t="str">
        <x:v>Decision / evidence</x:v>
      </x:c>
      <x:c r="I1" s="4" t="str">
        <x:v>Approval date</x:v>
      </x:c>
      <x:c r="J1" s="4" t="str">
        <x:v>Expiration date</x:v>
      </x:c>
      <x:c r="K1" s="4" t="str">
        <x:v>Review date</x:v>
      </x:c>
      <x:c r="L1" s="4" t="str">
        <x:v>Closure evidence</x:v>
      </x:c>
      <x:c r="M1" s="4" t="str">
        <x:v>Status</x:v>
      </x:c>
    </x:row>
    <x:row r="2" ht="31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93" hidden="0" customWidth="1"/>
    <x:col min="3" max="3" width="80" hidden="0" customWidth="1"/>
  </x:cols>
  <x:sheetData>
    <x:row r="1" ht="30" customHeight="1">
      <x:c r="A1" s="4" t="str">
        <x:v>Metric</x:v>
      </x:c>
      <x:c r="B1" s="4" t="str">
        <x:v>Operational definition</x:v>
      </x:c>
      <x:c r="C1" s="4" t="str">
        <x:v>Current educational-demo state</x:v>
      </x:c>
    </x:row>
    <x:row r="2" ht="31" customHeight="1">
      <x:c r="A2" s="8" t="str">
        <x:v>Control coverage</x:v>
      </x:c>
      <x:c r="B2" s="8" t="str">
        <x:v>Applicable controls with named owner and implementation evidence / all applicable controls</x:v>
      </x:c>
      <x:c r="C2" s="8" t="str">
        <x:v>Not assessed — illustrative</x:v>
      </x:c>
    </x:row>
    <x:row r="3" ht="31" customHeight="1">
      <x:c r="A3" s="8" t="str">
        <x:v>Testing completion</x:v>
      </x:c>
      <x:c r="B3" s="8" t="str">
        <x:v>Tests executed / tests scheduled for period</x:v>
      </x:c>
      <x:c r="C3" s="8" t="str">
        <x:v>Not assessed — illustrative</x:v>
      </x:c>
    </x:row>
    <x:row r="4" ht="31" customHeight="1">
      <x:c r="A4" s="8" t="str">
        <x:v>Effectiveness</x:v>
      </x:c>
      <x:c r="B4" s="8" t="str">
        <x:v>Count by Effective, Partial, Ineffective, Not Tested and N/A</x:v>
      </x:c>
      <x:c r="C4" s="8" t="str">
        <x:v>40 Not Tested illustrative records</x:v>
      </x:c>
    </x:row>
    <x:row r="5" ht="31" customHeight="1">
      <x:c r="A5" s="8" t="str">
        <x:v>Open findings</x:v>
      </x:c>
      <x:c r="B5" s="8" t="str">
        <x:v>Open findings grouped by severity</x:v>
      </x:c>
      <x:c r="C5" s="8" t="str">
        <x:v>No results verified; blank register is not evidence of zero findings</x:v>
      </x:c>
    </x:row>
    <x:row r="6" ht="31" customHeight="1">
      <x:c r="A6" s="8" t="str">
        <x:v>Overdue remediation</x:v>
      </x:c>
      <x:c r="B6" s="8" t="str">
        <x:v>Past-due corrective actions</x:v>
      </x:c>
      <x:c r="C6" s="8" t="str">
        <x:v>Not assessed — illustrative</x:v>
      </x:c>
    </x:row>
    <x:row r="7" ht="31" customHeight="1">
      <x:c r="A7" s="8" t="str">
        <x:v>Active exceptions</x:v>
      </x:c>
      <x:c r="B7" s="8" t="str">
        <x:v>Authorized, unexpired exceptions and next reviews</x:v>
      </x:c>
      <x:c r="C7" s="8" t="str">
        <x:v>No exceptions recorded; do not infer operational zero</x:v>
      </x:c>
    </x:row>
    <x:row r="8" ht="31" customHeight="1">
      <x:c r="A8" s="8" t="str">
        <x:v>Human interventions</x:v>
      </x:c>
      <x:c r="B8" s="8" t="str">
        <x:v>Overrides, escalation, AI stops and outcomes</x:v>
      </x:c>
      <x:c r="C8" s="8" t="str">
        <x:v>Not assessed — illustrative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32" hidden="0" customWidth="1"/>
    <x:col min="3" max="3" width="110" hidden="0" customWidth="1"/>
  </x:cols>
  <x:sheetData>
    <x:row r="1" ht="30" customHeight="1">
      <x:c r="A1" s="4" t="str">
        <x:v>Type</x:v>
      </x:c>
      <x:c r="B1" s="4" t="str">
        <x:v>Risk / scope</x:v>
      </x:c>
      <x:c r="C1" s="4" t="str">
        <x:v>Approved proposed rule</x:v>
      </x:c>
    </x:row>
    <x:row r="2" ht="31" customHeight="1">
      <x:c r="A2" s="8" t="str">
        <x:v>Cadence</x:v>
      </x:c>
      <x:c r="B2" s="8" t="str">
        <x:v>Low</x:v>
      </x:c>
      <x:c r="C2" s="8" t="str">
        <x:v>Annually</x:v>
      </x:c>
    </x:row>
    <x:row r="3" ht="31" customHeight="1">
      <x:c r="A3" s="8" t="str">
        <x:v>Cadence</x:v>
      </x:c>
      <x:c r="B3" s="8" t="str">
        <x:v>Moderate</x:v>
      </x:c>
      <x:c r="C3" s="8" t="str">
        <x:v>Every 6 months</x:v>
      </x:c>
    </x:row>
    <x:row r="4" ht="31" customHeight="1">
      <x:c r="A4" s="8" t="str">
        <x:v>Cadence</x:v>
      </x:c>
      <x:c r="B4" s="8" t="str">
        <x:v>High</x:v>
      </x:c>
      <x:c r="C4" s="8" t="str">
        <x:v>Quarterly</x:v>
      </x:c>
    </x:row>
    <x:row r="5" ht="31" customHeight="1">
      <x:c r="A5" s="8" t="str">
        <x:v>Cadence</x:v>
      </x:c>
      <x:c r="B5" s="8" t="str">
        <x:v>Critical</x:v>
      </x:c>
      <x:c r="C5" s="8" t="str">
        <x:v>Monthly</x:v>
      </x:c>
    </x:row>
    <x:row r="6" ht="31" customHeight="1">
      <x:c r="A6" s="8" t="str">
        <x:v>Other testing</x:v>
      </x:c>
      <x:c r="B6" s="8" t="str">
        <x:v>All systems</x:v>
      </x:c>
      <x:c r="C6" s="8" t="str">
        <x:v>Before deployment and upon material change, control failure or relevant serious incident</x:v>
      </x:c>
    </x:row>
    <x:row r="7" ht="31" customHeight="1">
      <x:c r="A7" s="8" t="str">
        <x:v>Distinct monitoring</x:v>
      </x:c>
      <x:c r="B7" s="8" t="str">
        <x:v>High-risk systems</x:v>
      </x:c>
      <x:c r="C7" s="8" t="str">
        <x:v>Monthly monitoring review; continuous automated alerts where feasible</x:v>
      </x:c>
    </x:row>
    <x:row r="8" ht="31" customHeight="1">
      <x:c r="A8" s="8" t="str">
        <x:v>Serious incident</x:v>
      </x:c>
      <x:c r="B8" s="8" t="str">
        <x:v>Operating high-risk AI</x:v>
      </x:c>
      <x:c r="C8" s="8" t="str">
        <x:v>Immediately suspend affected function; investigate; documented authorization before restart</x:v>
      </x:c>
    </x:row>
    <x:row r="9" ht="31" customHeight="1">
      <x:c r="A9" s="8" t="str">
        <x:v>Escalation</x:v>
      </x:c>
      <x:c r="B9" s="8" t="str">
        <x:v>High control failure</x:v>
      </x:c>
      <x:c r="C9" s="8" t="str">
        <x:v>Within 2 business days</x:v>
      </x:c>
    </x:row>
    <x:row r="10" ht="31" customHeight="1">
      <x:c r="A10" s="8" t="str">
        <x:v>Escalation</x:v>
      </x:c>
      <x:c r="B10" s="8" t="str">
        <x:v>Critical control failure</x:v>
      </x:c>
      <x:c r="C10" s="8" t="str">
        <x:v>Immediately</x:v>
      </x:c>
    </x:row>
    <x:row r="11" ht="31" customHeight="1">
      <x:c r="A11" s="8" t="str">
        <x:v>Categories</x:v>
      </x:c>
      <x:c r="B11" s="8" t="str">
        <x:v>All systems</x:v>
      </x:c>
      <x:c r="C11" s="8" t="str">
        <x:v>Eight control categories assessed; N/A requires GRC-reviewed rationale</x:v>
      </x:c>
    </x:row>
    <x:row r="12" ht="31" customHeight="1">
      <x:c r="A12" s="8" t="str">
        <x:v>Oversight</x:v>
      </x:c>
      <x:c r="B12" s="8" t="str">
        <x:v>High/Critical</x:v>
      </x:c>
      <x:c r="C12" s="8" t="str">
        <x:v>All six human oversight safeguards required; lower risks require applicability review</x:v>
      </x:c>
    </x:row>
    <x:row r="13" ht="31" customHeight="1">
      <x:c r="A13" s="8" t="str">
        <x:v>Exceptions</x:v>
      </x:c>
      <x:c r="B13" s="8" t="str">
        <x:v>All systems</x:v>
      </x:c>
      <x:c r="C13" s="8" t="str">
        <x:v>Seven safeguards; legal prohibitions and deployment mandates cannot be overridden</x:v>
      </x:c>
    </x:row>
    <x:row r="14" ht="31" customHeight="1">
      <x:c r="A14" s="8" t="str">
        <x:v>Change history</x:v>
      </x:c>
      <x:c r="B14" s="8" t="str">
        <x:v>All tests</x:v>
      </x:c>
      <x:c r="C14" s="8" t="str">
        <x:v>Assign unique Test ID. Append history; never overwrite historical execution rows.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5" hidden="0" customWidth="1"/>
    <x:col min="2" max="2" width="20" hidden="0" customWidth="1"/>
    <x:col min="3" max="3" width="62" hidden="0" customWidth="1"/>
  </x:cols>
  <x:sheetData>
    <x:row r="1" ht="30" customHeight="1">
      <x:c r="A1" s="4" t="str">
        <x:v>Indicator</x:v>
      </x:c>
      <x:c r="B1" s="4" t="str">
        <x:v>Value</x:v>
      </x:c>
      <x:c r="C1" s="4" t="str">
        <x:v>Notes</x:v>
      </x:c>
    </x:row>
    <x:row r="2" ht="31" customHeight="1">
      <x:c r="A2" s="8" t="str">
        <x:v>Illustrative control records</x:v>
      </x:c>
      <x:c r="B2" s="8" t="n">
        <x:f>COUNTA('Control Register'!A2:A200)</x:f>
        <x:v>40</x:v>
      </x:c>
      <x:c r="C2" s="8" t="str">
        <x:v>Eight categories × five systems; all untested</x:v>
      </x:c>
    </x:row>
    <x:row r="3" ht="31" customHeight="1">
      <x:c r="A3" s="8" t="str">
        <x:v>Not Tested</x:v>
      </x:c>
      <x:c r="B3" s="8" t="n">
        <x:f>COUNTIF('Control Register'!K2:K200,"Not Tested")</x:f>
        <x:v>40</x:v>
      </x:c>
      <x:c r="C3" s="8" t="str">
        <x:v>Count of untested ratings</x:v>
      </x:c>
    </x:row>
    <x:row r="4" ht="31" customHeight="1">
      <x:c r="A4" s="8" t="str">
        <x:v>Effective</x:v>
      </x:c>
      <x:c r="B4" s="8" t="n">
        <x:f>COUNTIF('Control Register'!K2:K200,"Effective")</x:f>
        <x:v>0</x:v>
      </x:c>
      <x:c r="C4" s="8" t="str">
        <x:v>Only after supported testing evidence</x:v>
      </x:c>
    </x:row>
    <x:row r="5" ht="31" customHeight="1">
      <x:c r="A5" s="8" t="str">
        <x:v>Partially Effective</x:v>
      </x:c>
      <x:c r="B5" s="8" t="n">
        <x:f>COUNTIF('Control Register'!K2:K200,"Partially Effective")</x:f>
        <x:v>0</x:v>
      </x:c>
      <x:c r="C5" s="8" t="str">
        <x:v>Evidence required</x:v>
      </x:c>
    </x:row>
    <x:row r="6" ht="31" customHeight="1">
      <x:c r="A6" s="8" t="str">
        <x:v>Ineffective</x:v>
      </x:c>
      <x:c r="B6" s="8" t="n">
        <x:f>COUNTIF('Control Register'!K2:K200,"Ineffective")</x:f>
        <x:v>0</x:v>
      </x:c>
      <x:c r="C6" s="8" t="str">
        <x:v>Evidence required</x:v>
      </x:c>
    </x:row>
    <x:row r="7" ht="31" customHeight="1">
      <x:c r="A7" s="8" t="str">
        <x:v>Not Applicable</x:v>
      </x:c>
      <x:c r="B7" s="8" t="n">
        <x:f>COUNTIF('Control Register'!K2:K200,"Not Applicable")</x:f>
        <x:v>0</x:v>
      </x:c>
      <x:c r="C7" s="8" t="str">
        <x:v>GRC-reviewed justification required</x:v>
      </x:c>
    </x:row>
    <x:row r="8" ht="31" customHeight="1">
      <x:c r="A8" s="8" t="str">
        <x:v>Completion %</x:v>
      </x:c>
      <x:c r="B8" s="10" t="n">
        <x:f>IFERROR((COUNTIF('Control Register'!K2:K200,"Effective")+COUNTIF('Control Register'!K2:K200,"Partially Effective")+COUNTIF('Control Register'!K2:K200,"Ineffective"))/COUNTA('Control Register'!A2:A200),0)</x:f>
        <x:v>0</x:v>
      </x:c>
      <x:c r="C8" s="8" t="str">
        <x:v>Does not count Not Tested / missing as completed</x:v>
      </x:c>
    </x:row>
  </x:sheetData>
  <x:pageMargins left="0.7" right="0.7" top="0.75" bottom="0.75" header="0.3" footer="0.3"/>
</x:worksheet>
</file>